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XCEL\"/>
    </mc:Choice>
  </mc:AlternateContent>
  <xr:revisionPtr revIDLastSave="0" documentId="13_ncr:1_{E72BDF6F-D8AF-4056-B5E9-31F02459A09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xcel_project2.xsl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5" i="1" l="1"/>
  <c r="P22" i="1"/>
  <c r="P19" i="1"/>
  <c r="P16" i="1"/>
  <c r="P13" i="1"/>
  <c r="P10" i="1"/>
  <c r="P7" i="1"/>
  <c r="P4" i="1"/>
</calcChain>
</file>

<file path=xl/sharedStrings.xml><?xml version="1.0" encoding="utf-8"?>
<sst xmlns="http://schemas.openxmlformats.org/spreadsheetml/2006/main" count="79973" uniqueCount="632">
  <si>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</si>
  <si>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</si>
  <si>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</si>
  <si>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</si>
  <si>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</si>
  <si>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</si>
  <si>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</si>
  <si>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</si>
  <si>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</si>
  <si>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</si>
  <si>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</si>
  <si>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</si>
  <si>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</si>
  <si>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</si>
  <si>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</si>
  <si>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</si>
  <si>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</si>
  <si>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</si>
  <si>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</si>
  <si>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</si>
  <si>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</si>
  <si>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</si>
  <si>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</si>
  <si>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</si>
  <si>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</si>
  <si>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</si>
  <si>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</si>
  <si>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</si>
  <si>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</si>
  <si>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</si>
  <si>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</si>
  <si>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</si>
  <si>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</si>
  <si>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</si>
  <si>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</si>
  <si>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</si>
  <si>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</si>
  <si>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</si>
  <si>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</si>
  <si>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</si>
  <si>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</si>
  <si>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</si>
  <si>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</si>
  <si>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</si>
  <si>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</si>
  <si>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</si>
  <si>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</si>
  <si>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</si>
  <si>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</si>
  <si>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</si>
  <si>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</si>
  <si>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</si>
  <si>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</si>
  <si>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</si>
  <si>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</si>
  <si>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</si>
  <si>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</si>
  <si>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</si>
  <si>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</si>
  <si>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</si>
  <si>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</si>
  <si>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</si>
  <si>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</si>
  <si>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</si>
  <si>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</si>
  <si>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</si>
  <si>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</si>
  <si>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</si>
  <si>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</si>
  <si>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</si>
  <si>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</si>
  <si>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</si>
  <si>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</si>
  <si>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</si>
  <si>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</si>
  <si>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</si>
  <si>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</si>
  <si>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</si>
  <si>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</si>
  <si>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</si>
  <si>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</si>
  <si>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</si>
  <si>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</si>
  <si>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</si>
  <si>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</si>
  <si>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</si>
  <si>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</si>
  <si>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</si>
  <si>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</si>
  <si>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</si>
  <si>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</si>
  <si>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</si>
  <si>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</si>
  <si>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</si>
  <si>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</si>
  <si>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</si>
  <si>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</si>
  <si>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</si>
  <si>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</si>
  <si>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</si>
  <si>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</si>
  <si>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</si>
  <si>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</si>
  <si>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</si>
  <si>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</si>
  <si>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</si>
  <si>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</si>
  <si>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</si>
  <si>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</si>
  <si>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</si>
  <si>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</si>
  <si>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</si>
  <si>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</si>
  <si>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</si>
  <si>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</si>
  <si>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</si>
  <si>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</si>
  <si>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</si>
  <si>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</si>
  <si>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</si>
  <si>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</si>
  <si>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</si>
  <si>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</si>
  <si>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</si>
  <si>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</si>
  <si>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</si>
  <si>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</si>
  <si>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</si>
  <si>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</si>
  <si>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</si>
  <si>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</si>
  <si>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</si>
  <si>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</si>
  <si>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</si>
  <si>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</si>
  <si>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</si>
  <si>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</si>
  <si>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</si>
  <si>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</si>
  <si>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</si>
  <si>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</si>
  <si>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</si>
  <si>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</si>
  <si>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</si>
  <si>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</si>
  <si>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</si>
  <si>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</si>
  <si>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</si>
  <si>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</si>
  <si>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</si>
  <si>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</si>
  <si>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</si>
  <si>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</si>
  <si>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</si>
  <si>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</si>
  <si>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</si>
  <si>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</si>
  <si>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</si>
  <si>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</si>
  <si>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</si>
  <si>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</si>
  <si>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</si>
  <si>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</si>
  <si>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</si>
  <si>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</si>
  <si>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</si>
  <si>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</si>
  <si>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</si>
  <si>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</si>
  <si>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</si>
  <si>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</si>
  <si>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</si>
  <si>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</si>
  <si>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</si>
  <si>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</si>
  <si>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</si>
  <si>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</si>
  <si>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</si>
  <si>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</si>
  <si>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</si>
  <si>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</si>
  <si>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</si>
  <si>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</si>
  <si>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</si>
  <si>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</si>
  <si>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</si>
  <si>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</si>
  <si>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</si>
  <si>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</si>
  <si>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</si>
  <si>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</si>
  <si>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</si>
  <si>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</si>
  <si>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</si>
  <si>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</si>
  <si>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</si>
  <si>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</si>
  <si>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</si>
  <si>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</si>
  <si>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</si>
  <si>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</si>
  <si>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</si>
  <si>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</si>
  <si>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</si>
  <si>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</si>
  <si>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</si>
  <si>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</si>
  <si>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</si>
  <si>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</si>
  <si>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</si>
  <si>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</si>
  <si>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</si>
  <si>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</si>
  <si>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</si>
  <si>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</si>
  <si>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</si>
  <si>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</si>
  <si>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</si>
  <si>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</si>
  <si>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</si>
  <si>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</si>
  <si>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</si>
  <si>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</si>
  <si>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</si>
  <si>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</si>
  <si>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</si>
  <si>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</si>
  <si>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</si>
  <si>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</si>
  <si>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</si>
  <si>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</si>
  <si>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</si>
  <si>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</si>
  <si>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</si>
  <si>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</si>
  <si>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</si>
  <si>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</si>
  <si>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</si>
  <si>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</si>
  <si>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</si>
  <si>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</si>
  <si>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</si>
  <si>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</si>
  <si>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</si>
  <si>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</si>
  <si>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</si>
  <si>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</si>
  <si>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</si>
  <si>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</si>
  <si>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</si>
  <si>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</si>
  <si>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</si>
  <si>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</si>
  <si>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</si>
  <si>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</si>
  <si>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</si>
  <si>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</si>
  <si>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</si>
  <si>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</si>
  <si>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</si>
  <si>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</si>
  <si>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</si>
  <si>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</si>
  <si>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</si>
  <si>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</si>
  <si>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</si>
  <si>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</si>
  <si>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</si>
  <si>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</si>
  <si>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</si>
  <si>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</si>
  <si>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</si>
  <si>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</si>
  <si>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</si>
  <si>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</si>
  <si>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</si>
  <si>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</si>
  <si>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</si>
  <si>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</si>
  <si>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</si>
  <si>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</si>
  <si>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</si>
  <si>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</si>
  <si>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</si>
  <si>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</si>
  <si>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</si>
  <si>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</si>
  <si>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</si>
  <si>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</si>
  <si>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</si>
  <si>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</si>
  <si>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</si>
  <si>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</si>
  <si>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</si>
  <si>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</si>
  <si>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</si>
  <si>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</si>
  <si>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</si>
  <si>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</si>
  <si>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</si>
  <si>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</si>
  <si>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</si>
  <si>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</si>
  <si>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</si>
  <si>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</si>
  <si>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</si>
  <si>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</si>
  <si>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</si>
  <si>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</si>
  <si>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</si>
  <si>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</si>
  <si>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</si>
  <si>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</si>
  <si>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</si>
  <si>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</si>
  <si>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</si>
  <si>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</si>
  <si>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</si>
  <si>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</si>
  <si>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</si>
  <si>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</si>
  <si>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</si>
  <si>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</si>
  <si>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</si>
  <si>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</si>
  <si>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</si>
  <si>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</si>
  <si>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</si>
  <si>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</si>
  <si>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</si>
  <si>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</si>
  <si>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</si>
  <si>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</si>
  <si>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</si>
  <si>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</si>
  <si>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</si>
  <si>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</si>
  <si>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</si>
  <si>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</si>
  <si>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</si>
  <si>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</si>
  <si>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</si>
  <si>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</si>
  <si>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</si>
  <si>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</si>
  <si>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</si>
  <si>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</si>
  <si>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</si>
  <si>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</si>
  <si>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</si>
  <si>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</si>
  <si>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</si>
  <si>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</si>
  <si>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</si>
  <si>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</si>
  <si>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</si>
  <si>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</si>
  <si>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</si>
  <si>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</si>
  <si>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</si>
  <si>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</si>
  <si>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</si>
  <si>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</si>
  <si>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</si>
  <si>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</si>
  <si>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</si>
  <si>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</si>
  <si>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</si>
  <si>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</si>
  <si>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</si>
  <si>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</si>
  <si>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</si>
  <si>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</si>
  <si>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</si>
  <si>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</si>
  <si>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</si>
  <si>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</si>
  <si>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</si>
  <si>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</si>
  <si>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</si>
  <si>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</si>
  <si>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</si>
  <si>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</si>
  <si>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</si>
  <si>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</si>
  <si>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</si>
  <si>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</si>
  <si>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</si>
  <si>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</si>
  <si>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</si>
  <si>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</si>
  <si>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</si>
  <si>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</si>
  <si>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</si>
  <si>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</si>
  <si>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</si>
  <si>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</si>
  <si>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</si>
  <si>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</si>
  <si>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</si>
  <si>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</si>
  <si>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</si>
  <si>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</si>
  <si>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</si>
  <si>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</si>
  <si>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</si>
  <si>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</si>
  <si>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</si>
  <si>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</si>
  <si>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</si>
  <si>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</si>
  <si>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</si>
  <si>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</si>
  <si>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</si>
  <si>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</si>
  <si>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</si>
  <si>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</si>
  <si>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</si>
  <si>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</si>
  <si>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</si>
  <si>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</si>
  <si>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</si>
  <si>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</si>
  <si>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</si>
  <si>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</si>
  <si>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</si>
  <si>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</si>
  <si>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</si>
  <si>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</si>
  <si>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</si>
  <si>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</si>
  <si>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</si>
  <si>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</si>
  <si>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</si>
  <si>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</si>
  <si>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</si>
  <si>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</si>
  <si>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</si>
  <si>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</si>
  <si>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</si>
  <si>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</si>
  <si>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</si>
  <si>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</si>
  <si>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</si>
  <si>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</si>
  <si>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</si>
  <si>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</si>
  <si>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</si>
  <si>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</si>
  <si>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</si>
  <si>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</si>
  <si>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</si>
  <si>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</si>
  <si>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</si>
  <si>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</si>
  <si>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</si>
  <si>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</si>
  <si>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</si>
  <si>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</si>
  <si>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</si>
  <si>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</si>
  <si>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</si>
  <si>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</si>
  <si>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</si>
  <si>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</si>
  <si>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</si>
  <si>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</si>
  <si>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</si>
  <si>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</si>
  <si>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</si>
  <si>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</si>
  <si>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</si>
  <si>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</si>
  <si>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</si>
  <si>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</si>
  <si>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</si>
  <si>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</si>
  <si>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</si>
  <si>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</si>
  <si>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</si>
  <si>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</si>
  <si>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</si>
  <si>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</si>
  <si>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</si>
  <si>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</si>
  <si>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</si>
  <si>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</si>
  <si>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</si>
  <si>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</si>
  <si>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</si>
  <si>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</si>
  <si>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</si>
  <si>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</si>
  <si>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</si>
  <si>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</si>
  <si>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</si>
  <si>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</si>
  <si>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</si>
  <si>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</si>
  <si>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</si>
  <si>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</si>
  <si>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</si>
  <si>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</si>
  <si>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</si>
  <si>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</si>
  <si>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</si>
  <si>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</si>
  <si>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</si>
  <si>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</si>
  <si>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</si>
  <si>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</si>
  <si>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</si>
  <si>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</si>
  <si>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</si>
  <si>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</si>
  <si>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</si>
  <si>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</si>
  <si>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</si>
  <si>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</si>
  <si>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</si>
  <si>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</si>
  <si>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</si>
  <si>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</si>
  <si>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</si>
  <si>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</si>
  <si>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</si>
  <si>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</si>
  <si>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</si>
  <si>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</si>
  <si>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</si>
  <si>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</si>
  <si>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</si>
  <si>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</si>
  <si>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</si>
  <si>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</si>
  <si>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</si>
  <si>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</si>
  <si>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</si>
  <si>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</si>
  <si>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</si>
  <si>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</si>
  <si>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</si>
  <si>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</si>
  <si>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</si>
  <si>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</si>
  <si>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</si>
  <si>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</si>
  <si>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</si>
  <si>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</si>
  <si>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</si>
  <si>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</si>
  <si>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</si>
  <si>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</si>
  <si>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</si>
  <si>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</si>
  <si>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</si>
  <si>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</si>
  <si>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</si>
  <si>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</si>
  <si>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</si>
  <si>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</si>
  <si>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</si>
  <si>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</si>
  <si>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</si>
  <si>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</si>
  <si>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</si>
  <si>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</si>
  <si>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</si>
  <si>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</si>
  <si>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</si>
  <si>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</si>
  <si>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</si>
  <si>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</si>
  <si>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</si>
  <si>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</si>
  <si>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</si>
  <si>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</si>
  <si>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</si>
  <si>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</si>
  <si>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</si>
  <si>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</si>
  <si>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</si>
  <si>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</si>
  <si>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</si>
  <si>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</si>
  <si>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</si>
  <si>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</si>
  <si>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</si>
  <si>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</si>
  <si>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</si>
  <si>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</si>
  <si>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</si>
  <si>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</si>
  <si>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</si>
  <si>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</si>
  <si>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</si>
  <si>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</si>
  <si>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</si>
  <si>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</si>
  <si>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</si>
  <si>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</si>
  <si>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</si>
  <si>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</si>
  <si>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</si>
  <si>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</si>
  <si>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</si>
  <si>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</si>
  <si>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</si>
  <si>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</si>
  <si>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</si>
  <si>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</si>
  <si>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</si>
  <si>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</si>
  <si>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</si>
  <si>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</si>
  <si>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</si>
  <si>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</si>
  <si>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</si>
  <si>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</si>
  <si>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</si>
  <si>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</si>
  <si>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</si>
  <si>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</si>
  <si>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</si>
  <si>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Q1. ans -&gt;</t>
  </si>
  <si>
    <t>Q2. ans -&gt;</t>
  </si>
  <si>
    <t xml:space="preserve">Q3. ans-&gt; </t>
  </si>
  <si>
    <t>Q4. ans-&gt;</t>
  </si>
  <si>
    <t>Q5. ans-&gt;</t>
  </si>
  <si>
    <t>Q6.ans-&gt;</t>
  </si>
  <si>
    <t>Q7.ans-&gt;</t>
  </si>
  <si>
    <t>Q8.ans-&gt;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</si>
</sst>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5"/>
  <sheetViews>
    <sheetView tabSelected="1" topLeftCell="A18" zoomScale="115" zoomScaleNormal="115" workbookViewId="0">
      <selection activeCell="P25" sqref="P25"/>
    </sheetView>
  </sheetViews>
  <sheetFormatPr defaultRowHeight="14" x14ac:dyDescent="0.3"/>
  <cols>
    <col min="6" max="6" width="12.9140625" customWidth="1"/>
    <col min="9" max="9" width="12" customWidth="1"/>
    <col min="15" max="15" width="9.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6" x14ac:dyDescent="0.3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O4" s="1" t="s">
        <v>624</v>
      </c>
      <c r="P4">
        <f>AVERAGEIFS(M2:M9995,H2:H9995,"Furniture",G2:G9995,"West")</f>
        <v>16.272914144271571</v>
      </c>
    </row>
    <row r="5" spans="1:16" x14ac:dyDescent="0.3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6" x14ac:dyDescent="0.3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6" x14ac:dyDescent="0.3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O7" s="2" t="s">
        <v>625</v>
      </c>
      <c r="P7">
        <f>VLOOKUP(MAX(J2:J9995),J2:M9995,3,FALSE)</f>
        <v>0.5</v>
      </c>
    </row>
    <row r="8" spans="1:16" x14ac:dyDescent="0.3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6" x14ac:dyDescent="0.3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6" x14ac:dyDescent="0.3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O10" s="3" t="s">
        <v>626</v>
      </c>
      <c r="P10" t="str">
        <f>INDEX(D2:D9995,MATCH(MIN(M2:M9995),M2:M9995,0))</f>
        <v>Lancaster</v>
      </c>
    </row>
    <row r="11" spans="1:16" x14ac:dyDescent="0.3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6" x14ac:dyDescent="0.3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6" x14ac:dyDescent="0.3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O13" s="4" t="s">
        <v>627</v>
      </c>
      <c r="P13">
        <f>INDEX(K2:K9995,MATCH(MAX(M2:M9995),M2:M9995,0))</f>
        <v>5</v>
      </c>
    </row>
    <row r="14" spans="1:16" x14ac:dyDescent="0.3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6" x14ac:dyDescent="0.3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6" x14ac:dyDescent="0.3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O16" s="5" t="s">
        <v>628</v>
      </c>
      <c r="P16">
        <f>AVERAGEIFS(L2:L9995,H2:H9995,"Office Supplies",G2:G9995,"South")</f>
        <v>0.16743718592964765</v>
      </c>
    </row>
    <row r="17" spans="1:16" x14ac:dyDescent="0.3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6" x14ac:dyDescent="0.3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6" x14ac:dyDescent="0.3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O19" s="6" t="s">
        <v>629</v>
      </c>
      <c r="P19">
        <f>SUMIFS(J2:J9995,H2:H9995,"Technology",A2:A9995,"Standard Class",M2:M9995,"&gt;50")</f>
        <v>339535.5749999996</v>
      </c>
    </row>
    <row r="20" spans="1:16" x14ac:dyDescent="0.3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6" x14ac:dyDescent="0.3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6" x14ac:dyDescent="0.3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O22" s="7" t="s">
        <v>630</v>
      </c>
      <c r="P22" t="str">
        <f>INDEX(I2:I9995,MATCH(_xlfn.MAXIFS(K2:K9995,B2:B9995,"Consumer",G2:G9995,"South"),K2:K9995,0))</f>
        <v>Fasteners</v>
      </c>
    </row>
    <row r="23" spans="1:16" x14ac:dyDescent="0.3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6" x14ac:dyDescent="0.3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6" x14ac:dyDescent="0.3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O25" s="8" t="s">
        <v>631</v>
      </c>
      <c r="P25">
        <f>SUMIFS(J2:J9995,H2:H9995,"Technology",A2:A9995,"Standard Class",M2:M9995,"&gt;50")</f>
        <v>339535.5749999996</v>
      </c>
    </row>
    <row r="26" spans="1:16" x14ac:dyDescent="0.3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6" x14ac:dyDescent="0.3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6" x14ac:dyDescent="0.3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6" x14ac:dyDescent="0.3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6" x14ac:dyDescent="0.3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6" x14ac:dyDescent="0.3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6" x14ac:dyDescent="0.3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3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3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3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3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3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3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3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3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3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3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84.98</v>
      </c>
      <c r="K9982">
        <v>1</v>
      </c>
      <c r="L9982">
        <v>0</v>
      </c>
      <c r="M9982">
        <v>22.354800000000001</v>
      </c>
    </row>
    <row r="9983" spans="1:13" x14ac:dyDescent="0.3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25.4344</v>
      </c>
    </row>
    <row r="9986" spans="1:13" x14ac:dyDescent="0.3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14.25</v>
      </c>
    </row>
    <row r="9989" spans="1:13" x14ac:dyDescent="0.3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excel_project2.xslx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Ahamed</dc:creator>
  <cp:lastModifiedBy>DELL</cp:lastModifiedBy>
  <dcterms:created xsi:type="dcterms:W3CDTF">2023-06-13T13:48:31Z</dcterms:created>
  <dcterms:modified xsi:type="dcterms:W3CDTF">2026-05-17T08:25:17Z</dcterms:modified>
</cp:coreProperties>
</file>