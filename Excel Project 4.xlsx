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mc:AlternateContent xmlns:mc="http://schemas.openxmlformats.org/markup-compatibility/2006">
    <mc:Choice Requires="x15">
      <x15ac:absPath xmlns:x15ac="http://schemas.microsoft.com/office/spreadsheetml/2010/11/ac" url="C:\Users\DELL\Desktop\EXCEL\"/>
    </mc:Choice>
  </mc:AlternateContent>
  <xr:revisionPtr revIDLastSave="0" documentId="13_ncr:1_{36443FD5-67D0-464B-B63B-02B7E8C030A9}" xr6:coauthVersionLast="47" xr6:coauthVersionMax="47" xr10:uidLastSave="{00000000-0000-0000-0000-000000000000}"/>
  <bookViews>
    <workbookView xWindow="-110" yWindow="-110" windowWidth="19420" windowHeight="11020" activeTab="1" xr2:uid="{835148B8-248B-49BD-B30B-1141E57B3FB6}"/>
  </bookViews>
  <sheets>
    <sheet name="Dynamic Chart" sheetId="3" r:id="rId1"/>
    <sheet name="Summary" sheetId="4" r:id="rId2"/>
    <sheet name="Sales_Data" sheetId="1" r:id="rId3"/>
  </sheets>
  <definedNames>
    <definedName name="Slicer_Quarter">#N/A</definedName>
  </definedNames>
  <calcPr calcId="191029"/>
  <pivotCaches>
    <pivotCache cacheId="10" r:id="rId4"/>
    <pivotCache cacheId="1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4" l="1"/>
  <c r="M3" i="4"/>
  <c r="J3" i="4"/>
  <c r="G3" i="4"/>
  <c r="K7" i="1"/>
  <c r="K5" i="1"/>
  <c r="K3"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alcChain>
</file>

<file path=xl/sharedStrings.xml><?xml version="1.0" encoding="utf-8"?>
<sst xmlns="http://schemas.openxmlformats.org/spreadsheetml/2006/main" count="204" uniqueCount="56">
  <si>
    <t>Product</t>
  </si>
  <si>
    <t>Sales</t>
  </si>
  <si>
    <t>Expenses</t>
  </si>
  <si>
    <t>Profit</t>
  </si>
  <si>
    <t>Region</t>
  </si>
  <si>
    <t>Quarter</t>
  </si>
  <si>
    <t>Mobile</t>
  </si>
  <si>
    <t>Laptop</t>
  </si>
  <si>
    <t>Keyboard</t>
  </si>
  <si>
    <t>Mouse</t>
  </si>
  <si>
    <t>Tablet</t>
  </si>
  <si>
    <t>Wire</t>
  </si>
  <si>
    <t>Mac</t>
  </si>
  <si>
    <t>System</t>
  </si>
  <si>
    <t>Printer</t>
  </si>
  <si>
    <t>Headphone</t>
  </si>
  <si>
    <t>Speaker</t>
  </si>
  <si>
    <t>Camera</t>
  </si>
  <si>
    <t>Power Bank</t>
  </si>
  <si>
    <t>SSD</t>
  </si>
  <si>
    <t>Microphone</t>
  </si>
  <si>
    <t>Pendrive</t>
  </si>
  <si>
    <t>Router</t>
  </si>
  <si>
    <t>Memory</t>
  </si>
  <si>
    <t>Webcam</t>
  </si>
  <si>
    <t>Projector</t>
  </si>
  <si>
    <t>Charger</t>
  </si>
  <si>
    <t>Gaming Console</t>
  </si>
  <si>
    <t>Smart Watch</t>
  </si>
  <si>
    <t>Monitor</t>
  </si>
  <si>
    <t>CPU</t>
  </si>
  <si>
    <t>MotherBoard</t>
  </si>
  <si>
    <t>SIM</t>
  </si>
  <si>
    <t>Eaephone</t>
  </si>
  <si>
    <t>Bluetooth</t>
  </si>
  <si>
    <t>East</t>
  </si>
  <si>
    <t>west</t>
  </si>
  <si>
    <t>North</t>
  </si>
  <si>
    <t>South</t>
  </si>
  <si>
    <t>Q1</t>
  </si>
  <si>
    <t>Q2</t>
  </si>
  <si>
    <t>Q3</t>
  </si>
  <si>
    <t>Q4</t>
  </si>
  <si>
    <t xml:space="preserve">Average sales by quarter </t>
  </si>
  <si>
    <t>Total Expenses by Quarter</t>
  </si>
  <si>
    <t>Maximum Profit by quarter</t>
  </si>
  <si>
    <t>Row Labels</t>
  </si>
  <si>
    <t>Sum of Profit</t>
  </si>
  <si>
    <t>Grand Total</t>
  </si>
  <si>
    <t>Sum of Sales</t>
  </si>
  <si>
    <t>Sum of Expenses</t>
  </si>
  <si>
    <t xml:space="preserve">              Sales Data Analysis</t>
  </si>
  <si>
    <t>Total Sales</t>
  </si>
  <si>
    <t>Total Profit</t>
  </si>
  <si>
    <t>Avg Sales</t>
  </si>
  <si>
    <t>Max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</si>
</sst>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sz val="11"/>
      <color rgb="FFFF0000"/>
      <name val="Calibri"/>
      <family val="2"/>
      <scheme val="minor"/>
    </font>
    <font>
      <sz val="11"/>
      <color theme="0"/>
      <name val="Calibri"/>
      <family val="2"/>
      <scheme val="minor"/>
    </font>
    <font>
      <sz val="26"/>
      <color theme="0"/>
      <name val="Calibri"/>
      <family val="2"/>
      <scheme val="minor"/>
    </font>
    <font>
      <sz val="18"/>
      <color theme="0"/>
      <name val="Calibri"/>
      <family val="2"/>
      <scheme val="minor"/>
    </font>
    <font>
      <sz val="20"/>
      <color theme="0"/>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rgb="FF002060"/>
        <bgColor indexed="64"/>
      </patternFill>
    </fill>
  </fills>
  <borders count="10">
    <border>
      <left/>
      <right/>
      <top/>
      <bottom/>
      <diagonal/>
    </border>
    <border>
      <left/>
      <right/>
      <top/>
      <bottom style="thin">
        <color theme="0"/>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s>
  <cellStyleXfs count="1">
    <xf numFmtId="0" fontId="0" fillId="0" borderId="0"/>
  </cellStyleXfs>
  <cellXfs count="23">
    <xf numFmtId="0" fontId="0" fillId="0" borderId="0" xfId="0"/>
    <xf numFmtId="0" fontId="1" fillId="0" borderId="0" xfId="0" applyFon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0" xfId="0" applyFont="1" applyFill="1"/>
    <xf numFmtId="0" fontId="0" fillId="3" borderId="0" xfId="0" applyFill="1"/>
    <xf numFmtId="0" fontId="3" fillId="3" borderId="0" xfId="0" applyFont="1" applyFill="1"/>
    <xf numFmtId="0" fontId="4" fillId="3" borderId="0" xfId="0" applyFont="1" applyFill="1"/>
    <xf numFmtId="0" fontId="0" fillId="0" borderId="0" xfId="0" applyNumberFormat="1"/>
    <xf numFmtId="0" fontId="0" fillId="0" borderId="1" xfId="0" applyBorder="1"/>
    <xf numFmtId="0" fontId="0" fillId="0" borderId="2" xfId="0" applyBorder="1"/>
    <xf numFmtId="0" fontId="5" fillId="3" borderId="3" xfId="0" applyFont="1" applyFill="1" applyBorder="1" applyAlignment="1">
      <alignment horizontal="center" vertical="center"/>
    </xf>
    <xf numFmtId="0" fontId="5" fillId="3" borderId="4" xfId="0" applyFont="1" applyFill="1" applyBorder="1" applyAlignment="1">
      <alignment vertical="center"/>
    </xf>
    <xf numFmtId="0" fontId="5" fillId="3" borderId="3" xfId="0" applyFont="1" applyFill="1" applyBorder="1" applyAlignment="1">
      <alignment vertical="center"/>
    </xf>
    <xf numFmtId="0" fontId="0" fillId="0" borderId="5" xfId="0" applyBorder="1"/>
    <xf numFmtId="0" fontId="0" fillId="0" borderId="8" xfId="0" applyBorder="1"/>
    <xf numFmtId="0" fontId="0" fillId="0" borderId="9" xfId="0" applyBorder="1"/>
    <xf numFmtId="0" fontId="0" fillId="3" borderId="6" xfId="0" applyFill="1" applyBorder="1"/>
    <xf numFmtId="0" fontId="6" fillId="3" borderId="3" xfId="0" applyFont="1" applyFill="1" applyBorder="1" applyAlignment="1">
      <alignment horizontal="left" vertical="center"/>
    </xf>
    <xf numFmtId="0" fontId="5" fillId="3" borderId="3" xfId="0" applyFont="1" applyFill="1" applyBorder="1" applyAlignment="1">
      <alignment horizontal="left" vertical="center"/>
    </xf>
    <xf numFmtId="0" fontId="5" fillId="3" borderId="7" xfId="0" applyFont="1" applyFill="1" applyBorder="1" applyAlignment="1">
      <alignment horizontal="left" vertical="center"/>
    </xf>
  </cellXfs>
  <cellStyles count="1">
    <cellStyle name="Normal" xfId="0" builtinId="0"/>
  </cellStyles>
  <dxfs count="6">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0" formatCode="General"/>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colors>
    <mruColors>
      <color rgb="FFFF47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4.xlsx]Dynamic Chart!PivotTable4</c:name>
    <c:fmtId val="5"/>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'Dynamic Chart'!$B$3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'Dynamic Chart'!$A$4:$A$20</c:f>
              <c:multiLvlStrCache>
                <c:ptCount val="12"/>
                <c:lvl>
                  <c:pt idx="0">
                    <c:v>East</c:v>
                  </c:pt>
                  <c:pt idx="1">
                    <c:v>North</c:v>
                  </c:pt>
                  <c:pt idx="2">
                    <c:v>west</c:v>
                  </c:pt>
                  <c:pt idx="3">
                    <c:v>South</c:v>
                  </c:pt>
                  <c:pt idx="4">
                    <c:v>west</c:v>
                  </c:pt>
                  <c:pt idx="5">
                    <c:v>East</c:v>
                  </c:pt>
                  <c:pt idx="6">
                    <c:v>North</c:v>
                  </c:pt>
                  <c:pt idx="7">
                    <c:v>west</c:v>
                  </c:pt>
                  <c:pt idx="8">
                    <c:v>East</c:v>
                  </c:pt>
                  <c:pt idx="9">
                    <c:v>North</c:v>
                  </c:pt>
                  <c:pt idx="10">
                    <c:v>South</c:v>
                  </c:pt>
                  <c:pt idx="11">
                    <c:v>west</c:v>
                  </c:pt>
                </c:lvl>
                <c:lvl>
                  <c:pt idx="0">
                    <c:v>Q1</c:v>
                  </c:pt>
                  <c:pt idx="3">
                    <c:v>Q2</c:v>
                  </c:pt>
                  <c:pt idx="5">
                    <c:v>Q3</c:v>
                  </c:pt>
                  <c:pt idx="8">
                    <c:v>Q4</c:v>
                  </c:pt>
                </c:lvl>
              </c:multiLvlStrCache>
            </c:multiLvlStrRef>
          </c:cat>
          <c:val>
            <c:numRef>
              <c:f>'Dynamic Chart'!$B$4:$B$20</c:f>
              <c:numCache>
                <c:formatCode>General</c:formatCode>
                <c:ptCount val="12"/>
                <c:pt idx="0">
                  <c:v>90000</c:v>
                </c:pt>
                <c:pt idx="1">
                  <c:v>8000</c:v>
                </c:pt>
                <c:pt idx="2">
                  <c:v>4000</c:v>
                </c:pt>
                <c:pt idx="3">
                  <c:v>5000</c:v>
                </c:pt>
                <c:pt idx="4">
                  <c:v>266700</c:v>
                </c:pt>
                <c:pt idx="5">
                  <c:v>109667</c:v>
                </c:pt>
                <c:pt idx="6">
                  <c:v>213000</c:v>
                </c:pt>
                <c:pt idx="7">
                  <c:v>2000</c:v>
                </c:pt>
                <c:pt idx="8">
                  <c:v>70000</c:v>
                </c:pt>
                <c:pt idx="9">
                  <c:v>61500</c:v>
                </c:pt>
                <c:pt idx="10">
                  <c:v>103000</c:v>
                </c:pt>
                <c:pt idx="11">
                  <c:v>70000</c:v>
                </c:pt>
              </c:numCache>
            </c:numRef>
          </c:val>
          <c:smooth val="0"/>
          <c:extLst>
            <c:ext xmlns:c16="http://schemas.microsoft.com/office/drawing/2014/chart" uri="{C3380CC4-5D6E-409C-BE32-E72D297353CC}">
              <c16:uniqueId val="{00000000-8F5F-40D2-AF52-25F52E4BE722}"/>
            </c:ext>
          </c:extLst>
        </c:ser>
        <c:ser>
          <c:idx val="1"/>
          <c:order val="1"/>
          <c:tx>
            <c:strRef>
              <c:f>'Dynamic Chart'!$C$3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'Dynamic Chart'!$A$4:$A$20</c:f>
              <c:multiLvlStrCache>
                <c:ptCount val="12"/>
                <c:lvl>
                  <c:pt idx="0">
                    <c:v>East</c:v>
                  </c:pt>
                  <c:pt idx="1">
                    <c:v>North</c:v>
                  </c:pt>
                  <c:pt idx="2">
                    <c:v>west</c:v>
                  </c:pt>
                  <c:pt idx="3">
                    <c:v>South</c:v>
                  </c:pt>
                  <c:pt idx="4">
                    <c:v>west</c:v>
                  </c:pt>
                  <c:pt idx="5">
                    <c:v>East</c:v>
                  </c:pt>
                  <c:pt idx="6">
                    <c:v>North</c:v>
                  </c:pt>
                  <c:pt idx="7">
                    <c:v>west</c:v>
                  </c:pt>
                  <c:pt idx="8">
                    <c:v>East</c:v>
                  </c:pt>
                  <c:pt idx="9">
                    <c:v>North</c:v>
                  </c:pt>
                  <c:pt idx="10">
                    <c:v>South</c:v>
                  </c:pt>
                  <c:pt idx="11">
                    <c:v>west</c:v>
                  </c:pt>
                </c:lvl>
                <c:lvl>
                  <c:pt idx="0">
                    <c:v>Q1</c:v>
                  </c:pt>
                  <c:pt idx="3">
                    <c:v>Q2</c:v>
                  </c:pt>
                  <c:pt idx="5">
                    <c:v>Q3</c:v>
                  </c:pt>
                  <c:pt idx="8">
                    <c:v>Q4</c:v>
                  </c:pt>
                </c:lvl>
              </c:multiLvlStrCache>
            </c:multiLvlStrRef>
          </c:cat>
          <c:val>
            <c:numRef>
              <c:f>'Dynamic Chart'!$C$4:$C$20</c:f>
              <c:numCache>
                <c:formatCode>General</c:formatCode>
                <c:ptCount val="12"/>
                <c:pt idx="0">
                  <c:v>54000</c:v>
                </c:pt>
                <c:pt idx="1">
                  <c:v>6500</c:v>
                </c:pt>
                <c:pt idx="2">
                  <c:v>1000</c:v>
                </c:pt>
                <c:pt idx="3">
                  <c:v>4000</c:v>
                </c:pt>
                <c:pt idx="4">
                  <c:v>194900</c:v>
                </c:pt>
                <c:pt idx="5">
                  <c:v>67000</c:v>
                </c:pt>
                <c:pt idx="6">
                  <c:v>91300</c:v>
                </c:pt>
                <c:pt idx="7">
                  <c:v>1900</c:v>
                </c:pt>
                <c:pt idx="8">
                  <c:v>65800</c:v>
                </c:pt>
                <c:pt idx="9">
                  <c:v>40500</c:v>
                </c:pt>
                <c:pt idx="10">
                  <c:v>58800</c:v>
                </c:pt>
                <c:pt idx="11">
                  <c:v>60000</c:v>
                </c:pt>
              </c:numCache>
            </c:numRef>
          </c:val>
          <c:smooth val="0"/>
          <c:extLst>
            <c:ext xmlns:c16="http://schemas.microsoft.com/office/drawing/2014/chart" uri="{C3380CC4-5D6E-409C-BE32-E72D297353CC}">
              <c16:uniqueId val="{00000001-8F5F-40D2-AF52-25F52E4BE722}"/>
            </c:ext>
          </c:extLst>
        </c:ser>
        <c:dLbls>
          <c:showLegendKey val="0"/>
          <c:showVal val="0"/>
          <c:showCatName val="0"/>
          <c:showSerName val="0"/>
          <c:showPercent val="0"/>
          <c:showBubbleSize val="0"/>
        </c:dLbls>
        <c:marker val="1"/>
        <c:smooth val="0"/>
        <c:axId val="512170880"/>
        <c:axId val="512171864"/>
      </c:lineChart>
      <c:catAx>
        <c:axId val="512170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171864"/>
        <c:crosses val="autoZero"/>
        <c:auto val="1"/>
        <c:lblAlgn val="ctr"/>
        <c:lblOffset val="100"/>
        <c:noMultiLvlLbl val="0"/>
      </c:catAx>
      <c:valAx>
        <c:axId val="512171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17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4.xlsx]Dynamic Chart!PivotTable4</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7961644614643"/>
          <c:y val="0.11951372680427816"/>
          <c:w val="0.72052807440174238"/>
          <c:h val="0.64877028354929778"/>
        </c:manualLayout>
      </c:layout>
      <c:lineChart>
        <c:grouping val="stacked"/>
        <c:varyColors val="0"/>
        <c:ser>
          <c:idx val="0"/>
          <c:order val="0"/>
          <c:tx>
            <c:strRef>
              <c:f>'Dynamic Chart'!$B$3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'Dynamic Chart'!$A$4:$A$20</c:f>
              <c:multiLvlStrCache>
                <c:ptCount val="12"/>
                <c:lvl>
                  <c:pt idx="0">
                    <c:v>East</c:v>
                  </c:pt>
                  <c:pt idx="1">
                    <c:v>North</c:v>
                  </c:pt>
                  <c:pt idx="2">
                    <c:v>west</c:v>
                  </c:pt>
                  <c:pt idx="3">
                    <c:v>South</c:v>
                  </c:pt>
                  <c:pt idx="4">
                    <c:v>west</c:v>
                  </c:pt>
                  <c:pt idx="5">
                    <c:v>East</c:v>
                  </c:pt>
                  <c:pt idx="6">
                    <c:v>North</c:v>
                  </c:pt>
                  <c:pt idx="7">
                    <c:v>west</c:v>
                  </c:pt>
                  <c:pt idx="8">
                    <c:v>East</c:v>
                  </c:pt>
                  <c:pt idx="9">
                    <c:v>North</c:v>
                  </c:pt>
                  <c:pt idx="10">
                    <c:v>South</c:v>
                  </c:pt>
                  <c:pt idx="11">
                    <c:v>west</c:v>
                  </c:pt>
                </c:lvl>
                <c:lvl>
                  <c:pt idx="0">
                    <c:v>Q1</c:v>
                  </c:pt>
                  <c:pt idx="3">
                    <c:v>Q2</c:v>
                  </c:pt>
                  <c:pt idx="5">
                    <c:v>Q3</c:v>
                  </c:pt>
                  <c:pt idx="8">
                    <c:v>Q4</c:v>
                  </c:pt>
                </c:lvl>
              </c:multiLvlStrCache>
            </c:multiLvlStrRef>
          </c:cat>
          <c:val>
            <c:numRef>
              <c:f>'Dynamic Chart'!$B$4:$B$20</c:f>
              <c:numCache>
                <c:formatCode>General</c:formatCode>
                <c:ptCount val="12"/>
                <c:pt idx="0">
                  <c:v>90000</c:v>
                </c:pt>
                <c:pt idx="1">
                  <c:v>8000</c:v>
                </c:pt>
                <c:pt idx="2">
                  <c:v>4000</c:v>
                </c:pt>
                <c:pt idx="3">
                  <c:v>5000</c:v>
                </c:pt>
                <c:pt idx="4">
                  <c:v>266700</c:v>
                </c:pt>
                <c:pt idx="5">
                  <c:v>109667</c:v>
                </c:pt>
                <c:pt idx="6">
                  <c:v>213000</c:v>
                </c:pt>
                <c:pt idx="7">
                  <c:v>2000</c:v>
                </c:pt>
                <c:pt idx="8">
                  <c:v>70000</c:v>
                </c:pt>
                <c:pt idx="9">
                  <c:v>61500</c:v>
                </c:pt>
                <c:pt idx="10">
                  <c:v>103000</c:v>
                </c:pt>
                <c:pt idx="11">
                  <c:v>70000</c:v>
                </c:pt>
              </c:numCache>
            </c:numRef>
          </c:val>
          <c:smooth val="0"/>
          <c:extLst>
            <c:ext xmlns:c16="http://schemas.microsoft.com/office/drawing/2014/chart" uri="{C3380CC4-5D6E-409C-BE32-E72D297353CC}">
              <c16:uniqueId val="{00000000-AB32-4BC0-A619-666CD6BB018C}"/>
            </c:ext>
          </c:extLst>
        </c:ser>
        <c:ser>
          <c:idx val="1"/>
          <c:order val="1"/>
          <c:tx>
            <c:strRef>
              <c:f>'Dynamic Chart'!$C$3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'Dynamic Chart'!$A$4:$A$20</c:f>
              <c:multiLvlStrCache>
                <c:ptCount val="12"/>
                <c:lvl>
                  <c:pt idx="0">
                    <c:v>East</c:v>
                  </c:pt>
                  <c:pt idx="1">
                    <c:v>North</c:v>
                  </c:pt>
                  <c:pt idx="2">
                    <c:v>west</c:v>
                  </c:pt>
                  <c:pt idx="3">
                    <c:v>South</c:v>
                  </c:pt>
                  <c:pt idx="4">
                    <c:v>west</c:v>
                  </c:pt>
                  <c:pt idx="5">
                    <c:v>East</c:v>
                  </c:pt>
                  <c:pt idx="6">
                    <c:v>North</c:v>
                  </c:pt>
                  <c:pt idx="7">
                    <c:v>west</c:v>
                  </c:pt>
                  <c:pt idx="8">
                    <c:v>East</c:v>
                  </c:pt>
                  <c:pt idx="9">
                    <c:v>North</c:v>
                  </c:pt>
                  <c:pt idx="10">
                    <c:v>South</c:v>
                  </c:pt>
                  <c:pt idx="11">
                    <c:v>west</c:v>
                  </c:pt>
                </c:lvl>
                <c:lvl>
                  <c:pt idx="0">
                    <c:v>Q1</c:v>
                  </c:pt>
                  <c:pt idx="3">
                    <c:v>Q2</c:v>
                  </c:pt>
                  <c:pt idx="5">
                    <c:v>Q3</c:v>
                  </c:pt>
                  <c:pt idx="8">
                    <c:v>Q4</c:v>
                  </c:pt>
                </c:lvl>
              </c:multiLvlStrCache>
            </c:multiLvlStrRef>
          </c:cat>
          <c:val>
            <c:numRef>
              <c:f>'Dynamic Chart'!$C$4:$C$20</c:f>
              <c:numCache>
                <c:formatCode>General</c:formatCode>
                <c:ptCount val="12"/>
                <c:pt idx="0">
                  <c:v>54000</c:v>
                </c:pt>
                <c:pt idx="1">
                  <c:v>6500</c:v>
                </c:pt>
                <c:pt idx="2">
                  <c:v>1000</c:v>
                </c:pt>
                <c:pt idx="3">
                  <c:v>4000</c:v>
                </c:pt>
                <c:pt idx="4">
                  <c:v>194900</c:v>
                </c:pt>
                <c:pt idx="5">
                  <c:v>67000</c:v>
                </c:pt>
                <c:pt idx="6">
                  <c:v>91300</c:v>
                </c:pt>
                <c:pt idx="7">
                  <c:v>1900</c:v>
                </c:pt>
                <c:pt idx="8">
                  <c:v>65800</c:v>
                </c:pt>
                <c:pt idx="9">
                  <c:v>40500</c:v>
                </c:pt>
                <c:pt idx="10">
                  <c:v>58800</c:v>
                </c:pt>
                <c:pt idx="11">
                  <c:v>60000</c:v>
                </c:pt>
              </c:numCache>
            </c:numRef>
          </c:val>
          <c:smooth val="0"/>
          <c:extLst>
            <c:ext xmlns:c16="http://schemas.microsoft.com/office/drawing/2014/chart" uri="{C3380CC4-5D6E-409C-BE32-E72D297353CC}">
              <c16:uniqueId val="{00000001-AB32-4BC0-A619-666CD6BB018C}"/>
            </c:ext>
          </c:extLst>
        </c:ser>
        <c:dLbls>
          <c:showLegendKey val="0"/>
          <c:showVal val="0"/>
          <c:showCatName val="0"/>
          <c:showSerName val="0"/>
          <c:showPercent val="0"/>
          <c:showBubbleSize val="0"/>
        </c:dLbls>
        <c:marker val="1"/>
        <c:smooth val="0"/>
        <c:axId val="512170880"/>
        <c:axId val="512171864"/>
      </c:lineChart>
      <c:catAx>
        <c:axId val="512170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171864"/>
        <c:crosses val="autoZero"/>
        <c:auto val="1"/>
        <c:lblAlgn val="ctr"/>
        <c:lblOffset val="100"/>
        <c:noMultiLvlLbl val="0"/>
      </c:catAx>
      <c:valAx>
        <c:axId val="512171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17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590556</xdr:colOff>
      <xdr:row>1</xdr:row>
      <xdr:rowOff>180975</xdr:rowOff>
    </xdr:from>
    <xdr:to>
      <xdr:col>14</xdr:col>
      <xdr:colOff>184150</xdr:colOff>
      <xdr:row>16</xdr:row>
      <xdr:rowOff>161925</xdr:rowOff>
    </xdr:to>
    <xdr:graphicFrame macro="">
      <xdr:nvGraphicFramePr>
        <xdr:cNvPr id="2" name="Chart 1">
          <a:extLst>
            <a:ext uri="{FF2B5EF4-FFF2-40B4-BE49-F238E27FC236}">
              <a16:creationId xmlns:a16="http://schemas.microsoft.com/office/drawing/2014/main" id="{77E648A4-9DD1-4A52-8A85-D28E7E5FA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16934</xdr:colOff>
      <xdr:row>4</xdr:row>
      <xdr:rowOff>10584</xdr:rowOff>
    </xdr:from>
    <xdr:to>
      <xdr:col>6</xdr:col>
      <xdr:colOff>633187</xdr:colOff>
      <xdr:row>11</xdr:row>
      <xdr:rowOff>145143</xdr:rowOff>
    </xdr:to>
    <mc:AlternateContent xmlns:mc="http://schemas.openxmlformats.org/markup-compatibility/2006">
      <mc:Choice xmlns:a14="http://schemas.microsoft.com/office/drawing/2010/main" Requires="a14">
        <xdr:graphicFrame macro="">
          <xdr:nvGraphicFramePr>
            <xdr:cNvPr id="2" name="Quarter">
              <a:extLst>
                <a:ext uri="{FF2B5EF4-FFF2-40B4-BE49-F238E27FC236}">
                  <a16:creationId xmlns:a16="http://schemas.microsoft.com/office/drawing/2014/main" id="{D793E650-9591-4718-8143-8EDA0378752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3826934" y="1126125"/>
              <a:ext cx="1834767" cy="1395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37294</xdr:colOff>
      <xdr:row>4</xdr:row>
      <xdr:rowOff>13103</xdr:rowOff>
    </xdr:from>
    <xdr:to>
      <xdr:col>20</xdr:col>
      <xdr:colOff>579155</xdr:colOff>
      <xdr:row>22</xdr:row>
      <xdr:rowOff>18143</xdr:rowOff>
    </xdr:to>
    <xdr:graphicFrame macro="">
      <xdr:nvGraphicFramePr>
        <xdr:cNvPr id="3" name="Chart 2">
          <a:extLst>
            <a:ext uri="{FF2B5EF4-FFF2-40B4-BE49-F238E27FC236}">
              <a16:creationId xmlns:a16="http://schemas.microsoft.com/office/drawing/2014/main" id="{7D08E1BD-471A-4110-B0B6-744E28785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1.523877430554" createdVersion="7" refreshedVersion="7" minRefreshableVersion="3" recordCount="29" xr:uid="{9B745220-49CE-4281-B76F-D637C6746C00}">
  <cacheSource type="worksheet">
    <worksheetSource name="Table1"/>
  </cacheSource>
  <cacheFields count="6">
    <cacheField name="Product" numFmtId="0">
      <sharedItems count="29">
        <s v="Mobile"/>
        <s v="Laptop"/>
        <s v="Keyboard"/>
        <s v="Mouse"/>
        <s v="Tablet"/>
        <s v="Wire"/>
        <s v="Mac"/>
        <s v="System"/>
        <s v="Printer"/>
        <s v="Headphone"/>
        <s v="Speaker"/>
        <s v="Camera"/>
        <s v="Power Bank"/>
        <s v="SSD"/>
        <s v="Microphone"/>
        <s v="Pendrive"/>
        <s v="Router"/>
        <s v="Memory"/>
        <s v="Webcam"/>
        <s v="Projector"/>
        <s v="Charger"/>
        <s v="Gaming Console"/>
        <s v="Smart Watch"/>
        <s v="Monitor"/>
        <s v="CPU"/>
        <s v="MotherBoard"/>
        <s v="SIM"/>
        <s v="Eaephone"/>
        <s v="Bluetooth"/>
      </sharedItems>
    </cacheField>
    <cacheField name="Sales" numFmtId="0">
      <sharedItems containsSemiMixedTypes="0" containsString="0" containsNumber="1" containsInteger="1" minValue="1200" maxValue="200000"/>
    </cacheField>
    <cacheField name="Expenses" numFmtId="0">
      <sharedItems containsSemiMixedTypes="0" containsString="0" containsNumber="1" containsInteger="1" minValue="100" maxValue="120000"/>
    </cacheField>
    <cacheField name="Profit" numFmtId="0">
      <sharedItems containsSemiMixedTypes="0" containsString="0" containsNumber="1" containsInteger="1" minValue="500" maxValue="80000"/>
    </cacheField>
    <cacheField name="Region" numFmtId="0">
      <sharedItems count="4">
        <s v="East"/>
        <s v="west"/>
        <s v="North"/>
        <s v="South"/>
      </sharedItems>
    </cacheField>
    <cacheField name="Quarter" numFmtId="0">
      <sharedItems count="10">
        <s v="Q1"/>
        <s v="Q2"/>
        <s v="Q3"/>
        <s v="Q4"/>
        <s v="Q5" u="1"/>
        <s v="Q7" u="1"/>
        <s v="Q9" u="1"/>
        <s v="Q6" u="1"/>
        <s v="Q8" u="1"/>
        <s v="Q10" u="1"/>
      </sharedItems>
    </cacheField>
  </cacheFields>
  <extLst>
    <ext xmlns:x14="http://schemas.microsoft.com/office/spreadsheetml/2009/9/main" uri="{725AE2AE-9491-48be-B2B4-4EB974FC3084}">
      <x14:pivotCacheDefinition pivotCacheId="5473087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1.524191087963" createdVersion="7" refreshedVersion="7" minRefreshableVersion="3" recordCount="29" xr:uid="{92A617A5-7618-4D1E-9215-EDAE70B0E9AB}">
  <cacheSource type="worksheet">
    <worksheetSource name="Table1"/>
  </cacheSource>
  <cacheFields count="6">
    <cacheField name="Product" numFmtId="0">
      <sharedItems/>
    </cacheField>
    <cacheField name="Sales" numFmtId="0">
      <sharedItems containsSemiMixedTypes="0" containsString="0" containsNumber="1" containsInteger="1" minValue="1200" maxValue="200000"/>
    </cacheField>
    <cacheField name="Expenses" numFmtId="0">
      <sharedItems containsSemiMixedTypes="0" containsString="0" containsNumber="1" containsInteger="1" minValue="100" maxValue="120000"/>
    </cacheField>
    <cacheField name="Profit" numFmtId="0">
      <sharedItems containsSemiMixedTypes="0" containsString="0" containsNumber="1" containsInteger="1" minValue="500" maxValue="80000"/>
    </cacheField>
    <cacheField name="Region" numFmtId="0">
      <sharedItems count="4">
        <s v="East"/>
        <s v="west"/>
        <s v="North"/>
        <s v="South"/>
      </sharedItems>
    </cacheField>
    <cacheField name="Quarter" numFmtId="0">
      <sharedItems count="10">
        <s v="Q1"/>
        <s v="Q2"/>
        <s v="Q3"/>
        <s v="Q4"/>
        <s v="Q10" u="1"/>
        <s v="Q6" u="1"/>
        <s v="Q8" u="1"/>
        <s v="Q5" u="1"/>
        <s v="Q7" u="1"/>
        <s v="Q9"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50000"/>
    <n v="30000"/>
    <n v="20000"/>
    <x v="0"/>
    <x v="0"/>
  </r>
  <r>
    <x v="1"/>
    <n v="100000"/>
    <n v="60000"/>
    <n v="40000"/>
    <x v="1"/>
    <x v="1"/>
  </r>
  <r>
    <x v="2"/>
    <n v="5000"/>
    <n v="1000"/>
    <n v="4000"/>
    <x v="2"/>
    <x v="2"/>
  </r>
  <r>
    <x v="3"/>
    <n v="70000"/>
    <n v="30000"/>
    <n v="40000"/>
    <x v="3"/>
    <x v="3"/>
  </r>
  <r>
    <x v="4"/>
    <n v="40000"/>
    <n v="3000"/>
    <n v="37000"/>
    <x v="0"/>
    <x v="3"/>
  </r>
  <r>
    <x v="5"/>
    <n v="3000"/>
    <n v="1000"/>
    <n v="2000"/>
    <x v="3"/>
    <x v="3"/>
  </r>
  <r>
    <x v="6"/>
    <n v="100000"/>
    <n v="40000"/>
    <n v="60000"/>
    <x v="0"/>
    <x v="2"/>
  </r>
  <r>
    <x v="7"/>
    <n v="200000"/>
    <n v="120000"/>
    <n v="80000"/>
    <x v="2"/>
    <x v="2"/>
  </r>
  <r>
    <x v="8"/>
    <n v="50000"/>
    <n v="1000"/>
    <n v="49000"/>
    <x v="1"/>
    <x v="1"/>
  </r>
  <r>
    <x v="9"/>
    <n v="2000"/>
    <n v="500"/>
    <n v="1500"/>
    <x v="2"/>
    <x v="0"/>
  </r>
  <r>
    <x v="10"/>
    <n v="5500"/>
    <n v="500"/>
    <n v="5000"/>
    <x v="1"/>
    <x v="1"/>
  </r>
  <r>
    <x v="11"/>
    <n v="18000"/>
    <n v="12000"/>
    <n v="6000"/>
    <x v="3"/>
    <x v="3"/>
  </r>
  <r>
    <x v="12"/>
    <n v="5000"/>
    <n v="1000"/>
    <n v="4000"/>
    <x v="3"/>
    <x v="1"/>
  </r>
  <r>
    <x v="13"/>
    <n v="5667"/>
    <n v="667"/>
    <n v="5000"/>
    <x v="0"/>
    <x v="2"/>
  </r>
  <r>
    <x v="14"/>
    <n v="30000"/>
    <n v="1200"/>
    <n v="28800"/>
    <x v="0"/>
    <x v="3"/>
  </r>
  <r>
    <x v="15"/>
    <n v="6000"/>
    <n v="1000"/>
    <n v="5000"/>
    <x v="2"/>
    <x v="0"/>
  </r>
  <r>
    <x v="16"/>
    <n v="70000"/>
    <n v="10000"/>
    <n v="60000"/>
    <x v="1"/>
    <x v="3"/>
  </r>
  <r>
    <x v="17"/>
    <n v="1200"/>
    <n v="200"/>
    <n v="1000"/>
    <x v="1"/>
    <x v="1"/>
  </r>
  <r>
    <x v="18"/>
    <n v="4000"/>
    <n v="2000"/>
    <n v="2000"/>
    <x v="0"/>
    <x v="2"/>
  </r>
  <r>
    <x v="19"/>
    <n v="30000"/>
    <n v="3000"/>
    <n v="27000"/>
    <x v="0"/>
    <x v="0"/>
  </r>
  <r>
    <x v="20"/>
    <n v="4000"/>
    <n v="3000"/>
    <n v="1000"/>
    <x v="1"/>
    <x v="0"/>
  </r>
  <r>
    <x v="21"/>
    <n v="12000"/>
    <n v="1200"/>
    <n v="10800"/>
    <x v="3"/>
    <x v="3"/>
  </r>
  <r>
    <x v="22"/>
    <n v="1500"/>
    <n v="1000"/>
    <n v="500"/>
    <x v="2"/>
    <x v="3"/>
  </r>
  <r>
    <x v="23"/>
    <n v="8000"/>
    <n v="700"/>
    <n v="7300"/>
    <x v="2"/>
    <x v="2"/>
  </r>
  <r>
    <x v="24"/>
    <n v="60000"/>
    <n v="10000"/>
    <n v="50000"/>
    <x v="1"/>
    <x v="1"/>
  </r>
  <r>
    <x v="25"/>
    <n v="50000"/>
    <n v="100"/>
    <n v="49900"/>
    <x v="1"/>
    <x v="1"/>
  </r>
  <r>
    <x v="26"/>
    <n v="60000"/>
    <n v="20000"/>
    <n v="40000"/>
    <x v="2"/>
    <x v="3"/>
  </r>
  <r>
    <x v="27"/>
    <n v="10000"/>
    <n v="3000"/>
    <n v="7000"/>
    <x v="0"/>
    <x v="0"/>
  </r>
  <r>
    <x v="28"/>
    <n v="2000"/>
    <n v="100"/>
    <n v="1900"/>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Mobile"/>
    <n v="50000"/>
    <n v="30000"/>
    <n v="20000"/>
    <x v="0"/>
    <x v="0"/>
  </r>
  <r>
    <s v="Laptop"/>
    <n v="100000"/>
    <n v="60000"/>
    <n v="40000"/>
    <x v="1"/>
    <x v="1"/>
  </r>
  <r>
    <s v="Keyboard"/>
    <n v="5000"/>
    <n v="1000"/>
    <n v="4000"/>
    <x v="2"/>
    <x v="2"/>
  </r>
  <r>
    <s v="Mouse"/>
    <n v="70000"/>
    <n v="30000"/>
    <n v="40000"/>
    <x v="3"/>
    <x v="3"/>
  </r>
  <r>
    <s v="Tablet"/>
    <n v="40000"/>
    <n v="3000"/>
    <n v="37000"/>
    <x v="0"/>
    <x v="3"/>
  </r>
  <r>
    <s v="Wire"/>
    <n v="3000"/>
    <n v="1000"/>
    <n v="2000"/>
    <x v="3"/>
    <x v="3"/>
  </r>
  <r>
    <s v="Mac"/>
    <n v="100000"/>
    <n v="40000"/>
    <n v="60000"/>
    <x v="0"/>
    <x v="2"/>
  </r>
  <r>
    <s v="System"/>
    <n v="200000"/>
    <n v="120000"/>
    <n v="80000"/>
    <x v="2"/>
    <x v="2"/>
  </r>
  <r>
    <s v="Printer"/>
    <n v="50000"/>
    <n v="1000"/>
    <n v="49000"/>
    <x v="1"/>
    <x v="1"/>
  </r>
  <r>
    <s v="Headphone"/>
    <n v="2000"/>
    <n v="500"/>
    <n v="1500"/>
    <x v="2"/>
    <x v="0"/>
  </r>
  <r>
    <s v="Speaker"/>
    <n v="5500"/>
    <n v="500"/>
    <n v="5000"/>
    <x v="1"/>
    <x v="1"/>
  </r>
  <r>
    <s v="Camera"/>
    <n v="18000"/>
    <n v="12000"/>
    <n v="6000"/>
    <x v="3"/>
    <x v="3"/>
  </r>
  <r>
    <s v="Power Bank"/>
    <n v="5000"/>
    <n v="1000"/>
    <n v="4000"/>
    <x v="3"/>
    <x v="1"/>
  </r>
  <r>
    <s v="SSD"/>
    <n v="5667"/>
    <n v="667"/>
    <n v="5000"/>
    <x v="0"/>
    <x v="2"/>
  </r>
  <r>
    <s v="Microphone"/>
    <n v="30000"/>
    <n v="1200"/>
    <n v="28800"/>
    <x v="0"/>
    <x v="3"/>
  </r>
  <r>
    <s v="Pendrive"/>
    <n v="6000"/>
    <n v="1000"/>
    <n v="5000"/>
    <x v="2"/>
    <x v="0"/>
  </r>
  <r>
    <s v="Router"/>
    <n v="70000"/>
    <n v="10000"/>
    <n v="60000"/>
    <x v="1"/>
    <x v="3"/>
  </r>
  <r>
    <s v="Memory"/>
    <n v="1200"/>
    <n v="200"/>
    <n v="1000"/>
    <x v="1"/>
    <x v="1"/>
  </r>
  <r>
    <s v="Webcam"/>
    <n v="4000"/>
    <n v="2000"/>
    <n v="2000"/>
    <x v="0"/>
    <x v="2"/>
  </r>
  <r>
    <s v="Projector"/>
    <n v="30000"/>
    <n v="3000"/>
    <n v="27000"/>
    <x v="0"/>
    <x v="0"/>
  </r>
  <r>
    <s v="Charger"/>
    <n v="4000"/>
    <n v="3000"/>
    <n v="1000"/>
    <x v="1"/>
    <x v="0"/>
  </r>
  <r>
    <s v="Gaming Console"/>
    <n v="12000"/>
    <n v="1200"/>
    <n v="10800"/>
    <x v="3"/>
    <x v="3"/>
  </r>
  <r>
    <s v="Smart Watch"/>
    <n v="1500"/>
    <n v="1000"/>
    <n v="500"/>
    <x v="2"/>
    <x v="3"/>
  </r>
  <r>
    <s v="Monitor"/>
    <n v="8000"/>
    <n v="700"/>
    <n v="7300"/>
    <x v="2"/>
    <x v="2"/>
  </r>
  <r>
    <s v="CPU"/>
    <n v="60000"/>
    <n v="10000"/>
    <n v="50000"/>
    <x v="1"/>
    <x v="1"/>
  </r>
  <r>
    <s v="MotherBoard"/>
    <n v="50000"/>
    <n v="100"/>
    <n v="49900"/>
    <x v="1"/>
    <x v="1"/>
  </r>
  <r>
    <s v="SIM"/>
    <n v="60000"/>
    <n v="20000"/>
    <n v="40000"/>
    <x v="2"/>
    <x v="3"/>
  </r>
  <r>
    <s v="Eaephone"/>
    <n v="10000"/>
    <n v="3000"/>
    <n v="7000"/>
    <x v="0"/>
    <x v="0"/>
  </r>
  <r>
    <s v="Bluetooth"/>
    <n v="2000"/>
    <n v="100"/>
    <n v="190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2359E-94A2-479E-BE7E-CB7FAC9670DF}"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C20" firstHeaderRow="0" firstDataRow="1" firstDataCol="1"/>
  <pivotFields count="6">
    <pivotField showAll="0"/>
    <pivotField dataField="1" showAll="0"/>
    <pivotField showAll="0"/>
    <pivotField dataField="1" showAll="0"/>
    <pivotField axis="axisRow" showAll="0">
      <items count="5">
        <item x="0"/>
        <item x="2"/>
        <item x="3"/>
        <item x="1"/>
        <item t="default"/>
      </items>
    </pivotField>
    <pivotField axis="axisRow" showAll="0">
      <items count="11">
        <item x="0"/>
        <item m="1" x="4"/>
        <item x="1"/>
        <item x="2"/>
        <item x="3"/>
        <item m="1" x="7"/>
        <item m="1" x="5"/>
        <item m="1" x="8"/>
        <item m="1" x="6"/>
        <item m="1" x="9"/>
        <item t="default"/>
      </items>
    </pivotField>
  </pivotFields>
  <rowFields count="2">
    <field x="5"/>
    <field x="4"/>
  </rowFields>
  <rowItems count="17">
    <i>
      <x/>
    </i>
    <i r="1">
      <x/>
    </i>
    <i r="1">
      <x v="1"/>
    </i>
    <i r="1">
      <x v="3"/>
    </i>
    <i>
      <x v="2"/>
    </i>
    <i r="1">
      <x v="2"/>
    </i>
    <i r="1">
      <x v="3"/>
    </i>
    <i>
      <x v="3"/>
    </i>
    <i r="1">
      <x/>
    </i>
    <i r="1">
      <x v="1"/>
    </i>
    <i r="1">
      <x v="3"/>
    </i>
    <i>
      <x v="4"/>
    </i>
    <i r="1">
      <x/>
    </i>
    <i r="1">
      <x v="1"/>
    </i>
    <i r="1">
      <x v="2"/>
    </i>
    <i r="1">
      <x v="3"/>
    </i>
    <i t="grand">
      <x/>
    </i>
  </rowItems>
  <colFields count="1">
    <field x="-2"/>
  </colFields>
  <colItems count="2">
    <i>
      <x/>
    </i>
    <i i="1">
      <x v="1"/>
    </i>
  </colItems>
  <dataFields count="2">
    <dataField name="Sum of Sales" fld="1" baseField="0" baseItem="0"/>
    <dataField name="Sum of Profit" fld="3"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67E89C-C2AA-47A4-AA71-608D589D5DCE}" name="PivotTable1" cacheId="14"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6">
  <location ref="I5:K22" firstHeaderRow="0" firstDataRow="1" firstDataCol="1"/>
  <pivotFields count="6">
    <pivotField showAll="0"/>
    <pivotField dataField="1" showAll="0"/>
    <pivotField showAll="0"/>
    <pivotField dataField="1" showAll="0"/>
    <pivotField axis="axisRow" showAll="0">
      <items count="5">
        <item x="0"/>
        <item x="2"/>
        <item x="3"/>
        <item x="1"/>
        <item t="default"/>
      </items>
    </pivotField>
    <pivotField axis="axisRow" showAll="0">
      <items count="11">
        <item x="0"/>
        <item m="1" x="4"/>
        <item x="1"/>
        <item x="2"/>
        <item x="3"/>
        <item m="1" x="7"/>
        <item m="1" x="5"/>
        <item m="1" x="8"/>
        <item m="1" x="6"/>
        <item m="1" x="9"/>
        <item t="default"/>
      </items>
    </pivotField>
  </pivotFields>
  <rowFields count="2">
    <field x="5"/>
    <field x="4"/>
  </rowFields>
  <rowItems count="17">
    <i>
      <x/>
    </i>
    <i r="1">
      <x/>
    </i>
    <i r="1">
      <x v="1"/>
    </i>
    <i r="1">
      <x v="3"/>
    </i>
    <i>
      <x v="2"/>
    </i>
    <i r="1">
      <x v="2"/>
    </i>
    <i r="1">
      <x v="3"/>
    </i>
    <i>
      <x v="3"/>
    </i>
    <i r="1">
      <x/>
    </i>
    <i r="1">
      <x v="1"/>
    </i>
    <i r="1">
      <x v="3"/>
    </i>
    <i>
      <x v="4"/>
    </i>
    <i r="1">
      <x/>
    </i>
    <i r="1">
      <x v="1"/>
    </i>
    <i r="1">
      <x v="2"/>
    </i>
    <i r="1">
      <x v="3"/>
    </i>
    <i t="grand">
      <x/>
    </i>
  </rowItems>
  <colFields count="1">
    <field x="-2"/>
  </colFields>
  <colItems count="2">
    <i>
      <x/>
    </i>
    <i i="1">
      <x v="1"/>
    </i>
  </colItems>
  <dataFields count="2">
    <dataField name="Sum of Sales" fld="1" baseField="0" baseItem="0"/>
    <dataField name="Sum of Profit" fld="3" baseField="0" baseItem="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FBF18-838C-46BF-A21F-0CB0CA64BF41}" name="PivotTable6"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D64" firstHeaderRow="0" firstDataRow="1" firstDataCol="1"/>
  <pivotFields count="6">
    <pivotField axis="axisRow" showAll="0">
      <items count="30">
        <item x="28"/>
        <item x="11"/>
        <item x="20"/>
        <item x="24"/>
        <item x="27"/>
        <item x="21"/>
        <item x="9"/>
        <item x="2"/>
        <item x="1"/>
        <item x="6"/>
        <item x="17"/>
        <item x="14"/>
        <item x="0"/>
        <item x="23"/>
        <item x="25"/>
        <item x="3"/>
        <item x="15"/>
        <item x="12"/>
        <item x="8"/>
        <item x="19"/>
        <item x="16"/>
        <item x="26"/>
        <item x="22"/>
        <item x="10"/>
        <item x="13"/>
        <item x="7"/>
        <item x="4"/>
        <item x="18"/>
        <item x="5"/>
        <item t="default"/>
      </items>
    </pivotField>
    <pivotField dataField="1" showAll="0"/>
    <pivotField dataField="1" showAll="0"/>
    <pivotField dataField="1" showAll="0"/>
    <pivotField axis="axisRow" showAll="0">
      <items count="5">
        <item x="0"/>
        <item x="2"/>
        <item x="3"/>
        <item x="1"/>
        <item t="default"/>
      </items>
    </pivotField>
    <pivotField showAll="0">
      <items count="11">
        <item x="0"/>
        <item m="1" x="9"/>
        <item x="1"/>
        <item x="2"/>
        <item x="3"/>
        <item m="1" x="4"/>
        <item m="1" x="7"/>
        <item m="1" x="5"/>
        <item m="1" x="8"/>
        <item m="1" x="6"/>
        <item t="default"/>
      </items>
    </pivotField>
  </pivotFields>
  <rowFields count="2">
    <field x="0"/>
    <field x="4"/>
  </rowFields>
  <rowItems count="59">
    <i>
      <x/>
    </i>
    <i r="1">
      <x v="3"/>
    </i>
    <i>
      <x v="1"/>
    </i>
    <i r="1">
      <x v="2"/>
    </i>
    <i>
      <x v="2"/>
    </i>
    <i r="1">
      <x v="3"/>
    </i>
    <i>
      <x v="3"/>
    </i>
    <i r="1">
      <x v="3"/>
    </i>
    <i>
      <x v="4"/>
    </i>
    <i r="1">
      <x/>
    </i>
    <i>
      <x v="5"/>
    </i>
    <i r="1">
      <x v="2"/>
    </i>
    <i>
      <x v="6"/>
    </i>
    <i r="1">
      <x v="1"/>
    </i>
    <i>
      <x v="7"/>
    </i>
    <i r="1">
      <x v="1"/>
    </i>
    <i>
      <x v="8"/>
    </i>
    <i r="1">
      <x v="3"/>
    </i>
    <i>
      <x v="9"/>
    </i>
    <i r="1">
      <x/>
    </i>
    <i>
      <x v="10"/>
    </i>
    <i r="1">
      <x v="3"/>
    </i>
    <i>
      <x v="11"/>
    </i>
    <i r="1">
      <x/>
    </i>
    <i>
      <x v="12"/>
    </i>
    <i r="1">
      <x/>
    </i>
    <i>
      <x v="13"/>
    </i>
    <i r="1">
      <x v="1"/>
    </i>
    <i>
      <x v="14"/>
    </i>
    <i r="1">
      <x v="3"/>
    </i>
    <i>
      <x v="15"/>
    </i>
    <i r="1">
      <x v="2"/>
    </i>
    <i>
      <x v="16"/>
    </i>
    <i r="1">
      <x v="1"/>
    </i>
    <i>
      <x v="17"/>
    </i>
    <i r="1">
      <x v="2"/>
    </i>
    <i>
      <x v="18"/>
    </i>
    <i r="1">
      <x v="3"/>
    </i>
    <i>
      <x v="19"/>
    </i>
    <i r="1">
      <x/>
    </i>
    <i>
      <x v="20"/>
    </i>
    <i r="1">
      <x v="3"/>
    </i>
    <i>
      <x v="21"/>
    </i>
    <i r="1">
      <x v="1"/>
    </i>
    <i>
      <x v="22"/>
    </i>
    <i r="1">
      <x v="1"/>
    </i>
    <i>
      <x v="23"/>
    </i>
    <i r="1">
      <x v="3"/>
    </i>
    <i>
      <x v="24"/>
    </i>
    <i r="1">
      <x/>
    </i>
    <i>
      <x v="25"/>
    </i>
    <i r="1">
      <x v="1"/>
    </i>
    <i>
      <x v="26"/>
    </i>
    <i r="1">
      <x/>
    </i>
    <i>
      <x v="27"/>
    </i>
    <i r="1">
      <x/>
    </i>
    <i>
      <x v="28"/>
    </i>
    <i r="1">
      <x v="2"/>
    </i>
    <i t="grand">
      <x/>
    </i>
  </rowItems>
  <colFields count="1">
    <field x="-2"/>
  </colFields>
  <colItems count="3">
    <i>
      <x/>
    </i>
    <i i="1">
      <x v="1"/>
    </i>
    <i i="2">
      <x v="2"/>
    </i>
  </colItems>
  <dataFields count="3">
    <dataField name="Sum of Sales" fld="1" baseField="0" baseItem="0"/>
    <dataField name="Sum of Expenses" fld="2" baseField="0" baseItem="0"/>
    <dataField name="Sum of Profit" fld="3"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AE6D900-521B-447F-87E8-34691D7F1890}" sourceName="Quarter">
  <pivotTables>
    <pivotTable tabId="4" name="PivotTable6"/>
  </pivotTables>
  <data>
    <tabular pivotCacheId="547308779">
      <items count="10">
        <i x="0" s="1"/>
        <i x="1" s="1"/>
        <i x="2" s="1"/>
        <i x="3" s="1"/>
        <i x="9" s="1" nd="1"/>
        <i x="4" s="1" nd="1"/>
        <i x="7" s="1" nd="1"/>
        <i x="5" s="1" nd="1"/>
        <i x="8"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1294FB6F-FFB6-409A-A9DB-D45F72088628}" cache="Slicer_Quarter" caption="Quarter"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682C02-9FA4-4C15-8C25-C40B5624B24E}" name="Table1" displayName="Table1" ref="A1:F30" totalsRowShown="0" headerRowDxfId="5">
  <autoFilter ref="A1:F30" xr:uid="{62682C02-9FA4-4C15-8C25-C40B5624B24E}"/>
  <tableColumns count="6">
    <tableColumn id="1" xr3:uid="{6E931F9E-5A7F-459B-A62A-826A74325CB5}" name="Product"/>
    <tableColumn id="2" xr3:uid="{DA504177-D9B3-4DB0-95C0-474C282EF8ED}" name="Sales"/>
    <tableColumn id="3" xr3:uid="{A03E6606-CA8B-4AAD-AE6C-A10C67A7FAFB}" name="Expenses"/>
    <tableColumn id="4" xr3:uid="{EA5190E5-B4FC-4BCD-9C7E-E91D5173C505}" name="Profit" dataDxfId="4">
      <calculatedColumnFormula>B2-C2</calculatedColumnFormula>
    </tableColumn>
    <tableColumn id="5" xr3:uid="{EDD256DE-7CC2-421F-BA49-9844349CE8B7}" name="Region"/>
    <tableColumn id="6" xr3:uid="{22DF5F7E-1E39-42BC-B759-E5004CFE6CE0}" name="Quart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5BFB-37F7-493E-B978-8EFCC3A4C33C}">
  <dimension ref="A3:C20"/>
  <sheetViews>
    <sheetView workbookViewId="0">
      <selection activeCell="E24" sqref="E24"/>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3" t="s">
        <v>46</v>
      </c>
      <c r="B3" t="s">
        <v>49</v>
      </c>
      <c r="C3" t="s">
        <v>47</v>
      </c>
    </row>
    <row r="4" spans="1:3" x14ac:dyDescent="0.35">
      <c r="A4" s="4" t="s">
        <v>39</v>
      </c>
      <c r="B4" s="10">
        <v>102000</v>
      </c>
      <c r="C4" s="10">
        <v>61500</v>
      </c>
    </row>
    <row r="5" spans="1:3" x14ac:dyDescent="0.35">
      <c r="A5" s="5" t="s">
        <v>35</v>
      </c>
      <c r="B5" s="10">
        <v>90000</v>
      </c>
      <c r="C5" s="10">
        <v>54000</v>
      </c>
    </row>
    <row r="6" spans="1:3" x14ac:dyDescent="0.35">
      <c r="A6" s="5" t="s">
        <v>37</v>
      </c>
      <c r="B6" s="10">
        <v>8000</v>
      </c>
      <c r="C6" s="10">
        <v>6500</v>
      </c>
    </row>
    <row r="7" spans="1:3" x14ac:dyDescent="0.35">
      <c r="A7" s="5" t="s">
        <v>36</v>
      </c>
      <c r="B7" s="10">
        <v>4000</v>
      </c>
      <c r="C7" s="10">
        <v>1000</v>
      </c>
    </row>
    <row r="8" spans="1:3" x14ac:dyDescent="0.35">
      <c r="A8" s="4" t="s">
        <v>40</v>
      </c>
      <c r="B8" s="10">
        <v>271700</v>
      </c>
      <c r="C8" s="10">
        <v>198900</v>
      </c>
    </row>
    <row r="9" spans="1:3" x14ac:dyDescent="0.35">
      <c r="A9" s="5" t="s">
        <v>38</v>
      </c>
      <c r="B9" s="10">
        <v>5000</v>
      </c>
      <c r="C9" s="10">
        <v>4000</v>
      </c>
    </row>
    <row r="10" spans="1:3" x14ac:dyDescent="0.35">
      <c r="A10" s="5" t="s">
        <v>36</v>
      </c>
      <c r="B10" s="10">
        <v>266700</v>
      </c>
      <c r="C10" s="10">
        <v>194900</v>
      </c>
    </row>
    <row r="11" spans="1:3" x14ac:dyDescent="0.35">
      <c r="A11" s="4" t="s">
        <v>41</v>
      </c>
      <c r="B11" s="10">
        <v>324667</v>
      </c>
      <c r="C11" s="10">
        <v>160200</v>
      </c>
    </row>
    <row r="12" spans="1:3" x14ac:dyDescent="0.35">
      <c r="A12" s="5" t="s">
        <v>35</v>
      </c>
      <c r="B12" s="10">
        <v>109667</v>
      </c>
      <c r="C12" s="10">
        <v>67000</v>
      </c>
    </row>
    <row r="13" spans="1:3" x14ac:dyDescent="0.35">
      <c r="A13" s="5" t="s">
        <v>37</v>
      </c>
      <c r="B13" s="10">
        <v>213000</v>
      </c>
      <c r="C13" s="10">
        <v>91300</v>
      </c>
    </row>
    <row r="14" spans="1:3" x14ac:dyDescent="0.35">
      <c r="A14" s="5" t="s">
        <v>36</v>
      </c>
      <c r="B14" s="10">
        <v>2000</v>
      </c>
      <c r="C14" s="10">
        <v>1900</v>
      </c>
    </row>
    <row r="15" spans="1:3" x14ac:dyDescent="0.35">
      <c r="A15" s="4" t="s">
        <v>42</v>
      </c>
      <c r="B15" s="10">
        <v>304500</v>
      </c>
      <c r="C15" s="10">
        <v>225100</v>
      </c>
    </row>
    <row r="16" spans="1:3" x14ac:dyDescent="0.35">
      <c r="A16" s="5" t="s">
        <v>35</v>
      </c>
      <c r="B16" s="10">
        <v>70000</v>
      </c>
      <c r="C16" s="10">
        <v>65800</v>
      </c>
    </row>
    <row r="17" spans="1:3" x14ac:dyDescent="0.35">
      <c r="A17" s="5" t="s">
        <v>37</v>
      </c>
      <c r="B17" s="10">
        <v>61500</v>
      </c>
      <c r="C17" s="10">
        <v>40500</v>
      </c>
    </row>
    <row r="18" spans="1:3" x14ac:dyDescent="0.35">
      <c r="A18" s="5" t="s">
        <v>38</v>
      </c>
      <c r="B18" s="10">
        <v>103000</v>
      </c>
      <c r="C18" s="10">
        <v>58800</v>
      </c>
    </row>
    <row r="19" spans="1:3" x14ac:dyDescent="0.35">
      <c r="A19" s="5" t="s">
        <v>36</v>
      </c>
      <c r="B19" s="10">
        <v>70000</v>
      </c>
      <c r="C19" s="10">
        <v>60000</v>
      </c>
    </row>
    <row r="20" spans="1:3" x14ac:dyDescent="0.35">
      <c r="A20" s="4" t="s">
        <v>48</v>
      </c>
      <c r="B20" s="10">
        <v>1002867</v>
      </c>
      <c r="C20" s="10">
        <v>645700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0BE9-7C47-4CE1-B6FB-2C493B11EABB}">
  <dimension ref="A1:M64"/>
  <sheetViews>
    <sheetView tabSelected="1" zoomScale="74" zoomScaleNormal="74" workbookViewId="0">
      <selection activeCell="I24" sqref="I24"/>
    </sheetView>
  </sheetViews>
  <sheetFormatPr defaultRowHeight="14.5" x14ac:dyDescent="0.35"/>
  <cols>
    <col min="1" max="1" width="16.1796875" bestFit="1" customWidth="1"/>
    <col min="2" max="2" width="11.36328125" bestFit="1" customWidth="1"/>
    <col min="3" max="3" width="14.90625" bestFit="1" customWidth="1"/>
    <col min="4" max="4" width="12" bestFit="1" customWidth="1"/>
    <col min="7" max="7" width="12.453125" bestFit="1" customWidth="1"/>
    <col min="9" max="9" width="13.36328125" bestFit="1" customWidth="1"/>
    <col min="10" max="10" width="11.90625" bestFit="1" customWidth="1"/>
    <col min="11" max="11" width="12.36328125" bestFit="1" customWidth="1"/>
    <col min="12" max="12" width="14.7265625" customWidth="1"/>
    <col min="13" max="13" width="9.81640625" bestFit="1" customWidth="1"/>
  </cols>
  <sheetData>
    <row r="1" spans="1:13" ht="33.5" x14ac:dyDescent="0.75">
      <c r="G1" s="9" t="s">
        <v>51</v>
      </c>
      <c r="H1" s="6"/>
      <c r="I1" s="7"/>
      <c r="J1" s="8"/>
      <c r="K1" s="8"/>
      <c r="L1" s="8"/>
    </row>
    <row r="2" spans="1:13" x14ac:dyDescent="0.35">
      <c r="B2" s="11"/>
      <c r="C2" s="11"/>
      <c r="E2" s="11"/>
      <c r="F2" s="11"/>
      <c r="G2" s="11"/>
      <c r="I2" s="11"/>
      <c r="J2" s="11"/>
      <c r="L2" s="17"/>
      <c r="M2" s="18"/>
    </row>
    <row r="3" spans="1:13" ht="26" x14ac:dyDescent="0.35">
      <c r="A3" s="12"/>
      <c r="B3" s="13" t="s">
        <v>52</v>
      </c>
      <c r="C3" s="15">
        <f>SUM(Sales_Data!B:B)</f>
        <v>1002867</v>
      </c>
      <c r="D3" s="16"/>
      <c r="E3" s="14" t="s">
        <v>53</v>
      </c>
      <c r="F3" s="19"/>
      <c r="G3" s="15">
        <f>SUM(Sales_Data!D:D)</f>
        <v>645700</v>
      </c>
      <c r="H3" s="16"/>
      <c r="I3" s="20" t="s">
        <v>54</v>
      </c>
      <c r="J3" s="21">
        <f>AVERAGE(Sales_Data!B:B)</f>
        <v>34581.620689655174</v>
      </c>
      <c r="K3" s="16"/>
      <c r="L3" s="22" t="s">
        <v>55</v>
      </c>
      <c r="M3" s="22">
        <f>MAX(Sales_Data!D:D)</f>
        <v>80000</v>
      </c>
    </row>
    <row r="5" spans="1:13" x14ac:dyDescent="0.35">
      <c r="A5" s="3" t="s">
        <v>46</v>
      </c>
      <c r="B5" t="s">
        <v>49</v>
      </c>
      <c r="C5" t="s">
        <v>50</v>
      </c>
      <c r="D5" t="s">
        <v>47</v>
      </c>
      <c r="I5" s="3" t="s">
        <v>46</v>
      </c>
      <c r="J5" t="s">
        <v>49</v>
      </c>
      <c r="K5" t="s">
        <v>47</v>
      </c>
    </row>
    <row r="6" spans="1:13" x14ac:dyDescent="0.35">
      <c r="A6" s="4" t="s">
        <v>34</v>
      </c>
      <c r="B6" s="10">
        <v>2000</v>
      </c>
      <c r="C6" s="10">
        <v>100</v>
      </c>
      <c r="D6" s="10">
        <v>1900</v>
      </c>
      <c r="I6" s="4" t="s">
        <v>39</v>
      </c>
      <c r="J6" s="10">
        <v>102000</v>
      </c>
      <c r="K6" s="10">
        <v>61500</v>
      </c>
    </row>
    <row r="7" spans="1:13" x14ac:dyDescent="0.35">
      <c r="A7" s="5" t="s">
        <v>36</v>
      </c>
      <c r="B7" s="10">
        <v>2000</v>
      </c>
      <c r="C7" s="10">
        <v>100</v>
      </c>
      <c r="D7" s="10">
        <v>1900</v>
      </c>
      <c r="I7" s="5" t="s">
        <v>35</v>
      </c>
      <c r="J7" s="10">
        <v>90000</v>
      </c>
      <c r="K7" s="10">
        <v>54000</v>
      </c>
    </row>
    <row r="8" spans="1:13" x14ac:dyDescent="0.35">
      <c r="A8" s="4" t="s">
        <v>17</v>
      </c>
      <c r="B8" s="10">
        <v>18000</v>
      </c>
      <c r="C8" s="10">
        <v>12000</v>
      </c>
      <c r="D8" s="10">
        <v>6000</v>
      </c>
      <c r="I8" s="5" t="s">
        <v>37</v>
      </c>
      <c r="J8" s="10">
        <v>8000</v>
      </c>
      <c r="K8" s="10">
        <v>6500</v>
      </c>
    </row>
    <row r="9" spans="1:13" x14ac:dyDescent="0.35">
      <c r="A9" s="5" t="s">
        <v>38</v>
      </c>
      <c r="B9" s="10">
        <v>18000</v>
      </c>
      <c r="C9" s="10">
        <v>12000</v>
      </c>
      <c r="D9" s="10">
        <v>6000</v>
      </c>
      <c r="I9" s="5" t="s">
        <v>36</v>
      </c>
      <c r="J9" s="10">
        <v>4000</v>
      </c>
      <c r="K9" s="10">
        <v>1000</v>
      </c>
    </row>
    <row r="10" spans="1:13" x14ac:dyDescent="0.35">
      <c r="A10" s="4" t="s">
        <v>26</v>
      </c>
      <c r="B10" s="10">
        <v>4000</v>
      </c>
      <c r="C10" s="10">
        <v>3000</v>
      </c>
      <c r="D10" s="10">
        <v>1000</v>
      </c>
      <c r="I10" s="4" t="s">
        <v>40</v>
      </c>
      <c r="J10" s="10">
        <v>271700</v>
      </c>
      <c r="K10" s="10">
        <v>198900</v>
      </c>
    </row>
    <row r="11" spans="1:13" x14ac:dyDescent="0.35">
      <c r="A11" s="5" t="s">
        <v>36</v>
      </c>
      <c r="B11" s="10">
        <v>4000</v>
      </c>
      <c r="C11" s="10">
        <v>3000</v>
      </c>
      <c r="D11" s="10">
        <v>1000</v>
      </c>
      <c r="I11" s="5" t="s">
        <v>38</v>
      </c>
      <c r="J11" s="10">
        <v>5000</v>
      </c>
      <c r="K11" s="10">
        <v>4000</v>
      </c>
    </row>
    <row r="12" spans="1:13" x14ac:dyDescent="0.35">
      <c r="A12" s="4" t="s">
        <v>30</v>
      </c>
      <c r="B12" s="10">
        <v>60000</v>
      </c>
      <c r="C12" s="10">
        <v>10000</v>
      </c>
      <c r="D12" s="10">
        <v>50000</v>
      </c>
      <c r="I12" s="5" t="s">
        <v>36</v>
      </c>
      <c r="J12" s="10">
        <v>266700</v>
      </c>
      <c r="K12" s="10">
        <v>194900</v>
      </c>
    </row>
    <row r="13" spans="1:13" x14ac:dyDescent="0.35">
      <c r="A13" s="5" t="s">
        <v>36</v>
      </c>
      <c r="B13" s="10">
        <v>60000</v>
      </c>
      <c r="C13" s="10">
        <v>10000</v>
      </c>
      <c r="D13" s="10">
        <v>50000</v>
      </c>
      <c r="I13" s="4" t="s">
        <v>41</v>
      </c>
      <c r="J13" s="10">
        <v>324667</v>
      </c>
      <c r="K13" s="10">
        <v>160200</v>
      </c>
    </row>
    <row r="14" spans="1:13" x14ac:dyDescent="0.35">
      <c r="A14" s="4" t="s">
        <v>33</v>
      </c>
      <c r="B14" s="10">
        <v>10000</v>
      </c>
      <c r="C14" s="10">
        <v>3000</v>
      </c>
      <c r="D14" s="10">
        <v>7000</v>
      </c>
      <c r="I14" s="5" t="s">
        <v>35</v>
      </c>
      <c r="J14" s="10">
        <v>109667</v>
      </c>
      <c r="K14" s="10">
        <v>67000</v>
      </c>
    </row>
    <row r="15" spans="1:13" x14ac:dyDescent="0.35">
      <c r="A15" s="5" t="s">
        <v>35</v>
      </c>
      <c r="B15" s="10">
        <v>10000</v>
      </c>
      <c r="C15" s="10">
        <v>3000</v>
      </c>
      <c r="D15" s="10">
        <v>7000</v>
      </c>
      <c r="I15" s="5" t="s">
        <v>37</v>
      </c>
      <c r="J15" s="10">
        <v>213000</v>
      </c>
      <c r="K15" s="10">
        <v>91300</v>
      </c>
    </row>
    <row r="16" spans="1:13" x14ac:dyDescent="0.35">
      <c r="A16" s="4" t="s">
        <v>27</v>
      </c>
      <c r="B16" s="10">
        <v>12000</v>
      </c>
      <c r="C16" s="10">
        <v>1200</v>
      </c>
      <c r="D16" s="10">
        <v>10800</v>
      </c>
      <c r="I16" s="5" t="s">
        <v>36</v>
      </c>
      <c r="J16" s="10">
        <v>2000</v>
      </c>
      <c r="K16" s="10">
        <v>1900</v>
      </c>
    </row>
    <row r="17" spans="1:11" x14ac:dyDescent="0.35">
      <c r="A17" s="5" t="s">
        <v>38</v>
      </c>
      <c r="B17" s="10">
        <v>12000</v>
      </c>
      <c r="C17" s="10">
        <v>1200</v>
      </c>
      <c r="D17" s="10">
        <v>10800</v>
      </c>
      <c r="I17" s="4" t="s">
        <v>42</v>
      </c>
      <c r="J17" s="10">
        <v>304500</v>
      </c>
      <c r="K17" s="10">
        <v>225100</v>
      </c>
    </row>
    <row r="18" spans="1:11" x14ac:dyDescent="0.35">
      <c r="A18" s="4" t="s">
        <v>15</v>
      </c>
      <c r="B18" s="10">
        <v>2000</v>
      </c>
      <c r="C18" s="10">
        <v>500</v>
      </c>
      <c r="D18" s="10">
        <v>1500</v>
      </c>
      <c r="I18" s="5" t="s">
        <v>35</v>
      </c>
      <c r="J18" s="10">
        <v>70000</v>
      </c>
      <c r="K18" s="10">
        <v>65800</v>
      </c>
    </row>
    <row r="19" spans="1:11" x14ac:dyDescent="0.35">
      <c r="A19" s="5" t="s">
        <v>37</v>
      </c>
      <c r="B19" s="10">
        <v>2000</v>
      </c>
      <c r="C19" s="10">
        <v>500</v>
      </c>
      <c r="D19" s="10">
        <v>1500</v>
      </c>
      <c r="I19" s="5" t="s">
        <v>37</v>
      </c>
      <c r="J19" s="10">
        <v>61500</v>
      </c>
      <c r="K19" s="10">
        <v>40500</v>
      </c>
    </row>
    <row r="20" spans="1:11" x14ac:dyDescent="0.35">
      <c r="A20" s="4" t="s">
        <v>8</v>
      </c>
      <c r="B20" s="10">
        <v>5000</v>
      </c>
      <c r="C20" s="10">
        <v>1000</v>
      </c>
      <c r="D20" s="10">
        <v>4000</v>
      </c>
      <c r="I20" s="5" t="s">
        <v>38</v>
      </c>
      <c r="J20" s="10">
        <v>103000</v>
      </c>
      <c r="K20" s="10">
        <v>58800</v>
      </c>
    </row>
    <row r="21" spans="1:11" x14ac:dyDescent="0.35">
      <c r="A21" s="5" t="s">
        <v>37</v>
      </c>
      <c r="B21" s="10">
        <v>5000</v>
      </c>
      <c r="C21" s="10">
        <v>1000</v>
      </c>
      <c r="D21" s="10">
        <v>4000</v>
      </c>
      <c r="I21" s="5" t="s">
        <v>36</v>
      </c>
      <c r="J21" s="10">
        <v>70000</v>
      </c>
      <c r="K21" s="10">
        <v>60000</v>
      </c>
    </row>
    <row r="22" spans="1:11" x14ac:dyDescent="0.35">
      <c r="A22" s="4" t="s">
        <v>7</v>
      </c>
      <c r="B22" s="10">
        <v>100000</v>
      </c>
      <c r="C22" s="10">
        <v>60000</v>
      </c>
      <c r="D22" s="10">
        <v>40000</v>
      </c>
      <c r="I22" s="4" t="s">
        <v>48</v>
      </c>
      <c r="J22" s="10">
        <v>1002867</v>
      </c>
      <c r="K22" s="10">
        <v>645700</v>
      </c>
    </row>
    <row r="23" spans="1:11" x14ac:dyDescent="0.35">
      <c r="A23" s="5" t="s">
        <v>36</v>
      </c>
      <c r="B23" s="10">
        <v>100000</v>
      </c>
      <c r="C23" s="10">
        <v>60000</v>
      </c>
      <c r="D23" s="10">
        <v>40000</v>
      </c>
    </row>
    <row r="24" spans="1:11" x14ac:dyDescent="0.35">
      <c r="A24" s="4" t="s">
        <v>12</v>
      </c>
      <c r="B24" s="10">
        <v>100000</v>
      </c>
      <c r="C24" s="10">
        <v>40000</v>
      </c>
      <c r="D24" s="10">
        <v>60000</v>
      </c>
    </row>
    <row r="25" spans="1:11" x14ac:dyDescent="0.35">
      <c r="A25" s="5" t="s">
        <v>35</v>
      </c>
      <c r="B25" s="10">
        <v>100000</v>
      </c>
      <c r="C25" s="10">
        <v>40000</v>
      </c>
      <c r="D25" s="10">
        <v>60000</v>
      </c>
    </row>
    <row r="26" spans="1:11" x14ac:dyDescent="0.35">
      <c r="A26" s="4" t="s">
        <v>23</v>
      </c>
      <c r="B26" s="10">
        <v>1200</v>
      </c>
      <c r="C26" s="10">
        <v>200</v>
      </c>
      <c r="D26" s="10">
        <v>1000</v>
      </c>
    </row>
    <row r="27" spans="1:11" x14ac:dyDescent="0.35">
      <c r="A27" s="5" t="s">
        <v>36</v>
      </c>
      <c r="B27" s="10">
        <v>1200</v>
      </c>
      <c r="C27" s="10">
        <v>200</v>
      </c>
      <c r="D27" s="10">
        <v>1000</v>
      </c>
    </row>
    <row r="28" spans="1:11" x14ac:dyDescent="0.35">
      <c r="A28" s="4" t="s">
        <v>20</v>
      </c>
      <c r="B28" s="10">
        <v>30000</v>
      </c>
      <c r="C28" s="10">
        <v>1200</v>
      </c>
      <c r="D28" s="10">
        <v>28800</v>
      </c>
    </row>
    <row r="29" spans="1:11" x14ac:dyDescent="0.35">
      <c r="A29" s="5" t="s">
        <v>35</v>
      </c>
      <c r="B29" s="10">
        <v>30000</v>
      </c>
      <c r="C29" s="10">
        <v>1200</v>
      </c>
      <c r="D29" s="10">
        <v>28800</v>
      </c>
    </row>
    <row r="30" spans="1:11" x14ac:dyDescent="0.35">
      <c r="A30" s="4" t="s">
        <v>6</v>
      </c>
      <c r="B30" s="10">
        <v>50000</v>
      </c>
      <c r="C30" s="10">
        <v>30000</v>
      </c>
      <c r="D30" s="10">
        <v>20000</v>
      </c>
    </row>
    <row r="31" spans="1:11" x14ac:dyDescent="0.35">
      <c r="A31" s="5" t="s">
        <v>35</v>
      </c>
      <c r="B31" s="10">
        <v>50000</v>
      </c>
      <c r="C31" s="10">
        <v>30000</v>
      </c>
      <c r="D31" s="10">
        <v>20000</v>
      </c>
    </row>
    <row r="32" spans="1:11" x14ac:dyDescent="0.35">
      <c r="A32" s="4" t="s">
        <v>29</v>
      </c>
      <c r="B32" s="10">
        <v>8000</v>
      </c>
      <c r="C32" s="10">
        <v>700</v>
      </c>
      <c r="D32" s="10">
        <v>7300</v>
      </c>
    </row>
    <row r="33" spans="1:4" x14ac:dyDescent="0.35">
      <c r="A33" s="5" t="s">
        <v>37</v>
      </c>
      <c r="B33" s="10">
        <v>8000</v>
      </c>
      <c r="C33" s="10">
        <v>700</v>
      </c>
      <c r="D33" s="10">
        <v>7300</v>
      </c>
    </row>
    <row r="34" spans="1:4" x14ac:dyDescent="0.35">
      <c r="A34" s="4" t="s">
        <v>31</v>
      </c>
      <c r="B34" s="10">
        <v>50000</v>
      </c>
      <c r="C34" s="10">
        <v>100</v>
      </c>
      <c r="D34" s="10">
        <v>49900</v>
      </c>
    </row>
    <row r="35" spans="1:4" x14ac:dyDescent="0.35">
      <c r="A35" s="5" t="s">
        <v>36</v>
      </c>
      <c r="B35" s="10">
        <v>50000</v>
      </c>
      <c r="C35" s="10">
        <v>100</v>
      </c>
      <c r="D35" s="10">
        <v>49900</v>
      </c>
    </row>
    <row r="36" spans="1:4" x14ac:dyDescent="0.35">
      <c r="A36" s="4" t="s">
        <v>9</v>
      </c>
      <c r="B36" s="10">
        <v>70000</v>
      </c>
      <c r="C36" s="10">
        <v>30000</v>
      </c>
      <c r="D36" s="10">
        <v>40000</v>
      </c>
    </row>
    <row r="37" spans="1:4" x14ac:dyDescent="0.35">
      <c r="A37" s="5" t="s">
        <v>38</v>
      </c>
      <c r="B37" s="10">
        <v>70000</v>
      </c>
      <c r="C37" s="10">
        <v>30000</v>
      </c>
      <c r="D37" s="10">
        <v>40000</v>
      </c>
    </row>
    <row r="38" spans="1:4" x14ac:dyDescent="0.35">
      <c r="A38" s="4" t="s">
        <v>21</v>
      </c>
      <c r="B38" s="10">
        <v>6000</v>
      </c>
      <c r="C38" s="10">
        <v>1000</v>
      </c>
      <c r="D38" s="10">
        <v>5000</v>
      </c>
    </row>
    <row r="39" spans="1:4" x14ac:dyDescent="0.35">
      <c r="A39" s="5" t="s">
        <v>37</v>
      </c>
      <c r="B39" s="10">
        <v>6000</v>
      </c>
      <c r="C39" s="10">
        <v>1000</v>
      </c>
      <c r="D39" s="10">
        <v>5000</v>
      </c>
    </row>
    <row r="40" spans="1:4" x14ac:dyDescent="0.35">
      <c r="A40" s="4" t="s">
        <v>18</v>
      </c>
      <c r="B40" s="10">
        <v>5000</v>
      </c>
      <c r="C40" s="10">
        <v>1000</v>
      </c>
      <c r="D40" s="10">
        <v>4000</v>
      </c>
    </row>
    <row r="41" spans="1:4" x14ac:dyDescent="0.35">
      <c r="A41" s="5" t="s">
        <v>38</v>
      </c>
      <c r="B41" s="10">
        <v>5000</v>
      </c>
      <c r="C41" s="10">
        <v>1000</v>
      </c>
      <c r="D41" s="10">
        <v>4000</v>
      </c>
    </row>
    <row r="42" spans="1:4" x14ac:dyDescent="0.35">
      <c r="A42" s="4" t="s">
        <v>14</v>
      </c>
      <c r="B42" s="10">
        <v>50000</v>
      </c>
      <c r="C42" s="10">
        <v>1000</v>
      </c>
      <c r="D42" s="10">
        <v>49000</v>
      </c>
    </row>
    <row r="43" spans="1:4" x14ac:dyDescent="0.35">
      <c r="A43" s="5" t="s">
        <v>36</v>
      </c>
      <c r="B43" s="10">
        <v>50000</v>
      </c>
      <c r="C43" s="10">
        <v>1000</v>
      </c>
      <c r="D43" s="10">
        <v>49000</v>
      </c>
    </row>
    <row r="44" spans="1:4" x14ac:dyDescent="0.35">
      <c r="A44" s="4" t="s">
        <v>25</v>
      </c>
      <c r="B44" s="10">
        <v>30000</v>
      </c>
      <c r="C44" s="10">
        <v>3000</v>
      </c>
      <c r="D44" s="10">
        <v>27000</v>
      </c>
    </row>
    <row r="45" spans="1:4" x14ac:dyDescent="0.35">
      <c r="A45" s="5" t="s">
        <v>35</v>
      </c>
      <c r="B45" s="10">
        <v>30000</v>
      </c>
      <c r="C45" s="10">
        <v>3000</v>
      </c>
      <c r="D45" s="10">
        <v>27000</v>
      </c>
    </row>
    <row r="46" spans="1:4" x14ac:dyDescent="0.35">
      <c r="A46" s="4" t="s">
        <v>22</v>
      </c>
      <c r="B46" s="10">
        <v>70000</v>
      </c>
      <c r="C46" s="10">
        <v>10000</v>
      </c>
      <c r="D46" s="10">
        <v>60000</v>
      </c>
    </row>
    <row r="47" spans="1:4" x14ac:dyDescent="0.35">
      <c r="A47" s="5" t="s">
        <v>36</v>
      </c>
      <c r="B47" s="10">
        <v>70000</v>
      </c>
      <c r="C47" s="10">
        <v>10000</v>
      </c>
      <c r="D47" s="10">
        <v>60000</v>
      </c>
    </row>
    <row r="48" spans="1:4" x14ac:dyDescent="0.35">
      <c r="A48" s="4" t="s">
        <v>32</v>
      </c>
      <c r="B48" s="10">
        <v>60000</v>
      </c>
      <c r="C48" s="10">
        <v>20000</v>
      </c>
      <c r="D48" s="10">
        <v>40000</v>
      </c>
    </row>
    <row r="49" spans="1:4" x14ac:dyDescent="0.35">
      <c r="A49" s="5" t="s">
        <v>37</v>
      </c>
      <c r="B49" s="10">
        <v>60000</v>
      </c>
      <c r="C49" s="10">
        <v>20000</v>
      </c>
      <c r="D49" s="10">
        <v>40000</v>
      </c>
    </row>
    <row r="50" spans="1:4" x14ac:dyDescent="0.35">
      <c r="A50" s="4" t="s">
        <v>28</v>
      </c>
      <c r="B50" s="10">
        <v>1500</v>
      </c>
      <c r="C50" s="10">
        <v>1000</v>
      </c>
      <c r="D50" s="10">
        <v>500</v>
      </c>
    </row>
    <row r="51" spans="1:4" x14ac:dyDescent="0.35">
      <c r="A51" s="5" t="s">
        <v>37</v>
      </c>
      <c r="B51" s="10">
        <v>1500</v>
      </c>
      <c r="C51" s="10">
        <v>1000</v>
      </c>
      <c r="D51" s="10">
        <v>500</v>
      </c>
    </row>
    <row r="52" spans="1:4" x14ac:dyDescent="0.35">
      <c r="A52" s="4" t="s">
        <v>16</v>
      </c>
      <c r="B52" s="10">
        <v>5500</v>
      </c>
      <c r="C52" s="10">
        <v>500</v>
      </c>
      <c r="D52" s="10">
        <v>5000</v>
      </c>
    </row>
    <row r="53" spans="1:4" x14ac:dyDescent="0.35">
      <c r="A53" s="5" t="s">
        <v>36</v>
      </c>
      <c r="B53" s="10">
        <v>5500</v>
      </c>
      <c r="C53" s="10">
        <v>500</v>
      </c>
      <c r="D53" s="10">
        <v>5000</v>
      </c>
    </row>
    <row r="54" spans="1:4" x14ac:dyDescent="0.35">
      <c r="A54" s="4" t="s">
        <v>19</v>
      </c>
      <c r="B54" s="10">
        <v>5667</v>
      </c>
      <c r="C54" s="10">
        <v>667</v>
      </c>
      <c r="D54" s="10">
        <v>5000</v>
      </c>
    </row>
    <row r="55" spans="1:4" x14ac:dyDescent="0.35">
      <c r="A55" s="5" t="s">
        <v>35</v>
      </c>
      <c r="B55" s="10">
        <v>5667</v>
      </c>
      <c r="C55" s="10">
        <v>667</v>
      </c>
      <c r="D55" s="10">
        <v>5000</v>
      </c>
    </row>
    <row r="56" spans="1:4" x14ac:dyDescent="0.35">
      <c r="A56" s="4" t="s">
        <v>13</v>
      </c>
      <c r="B56" s="10">
        <v>200000</v>
      </c>
      <c r="C56" s="10">
        <v>120000</v>
      </c>
      <c r="D56" s="10">
        <v>80000</v>
      </c>
    </row>
    <row r="57" spans="1:4" x14ac:dyDescent="0.35">
      <c r="A57" s="5" t="s">
        <v>37</v>
      </c>
      <c r="B57" s="10">
        <v>200000</v>
      </c>
      <c r="C57" s="10">
        <v>120000</v>
      </c>
      <c r="D57" s="10">
        <v>80000</v>
      </c>
    </row>
    <row r="58" spans="1:4" x14ac:dyDescent="0.35">
      <c r="A58" s="4" t="s">
        <v>10</v>
      </c>
      <c r="B58" s="10">
        <v>40000</v>
      </c>
      <c r="C58" s="10">
        <v>3000</v>
      </c>
      <c r="D58" s="10">
        <v>37000</v>
      </c>
    </row>
    <row r="59" spans="1:4" x14ac:dyDescent="0.35">
      <c r="A59" s="5" t="s">
        <v>35</v>
      </c>
      <c r="B59" s="10">
        <v>40000</v>
      </c>
      <c r="C59" s="10">
        <v>3000</v>
      </c>
      <c r="D59" s="10">
        <v>37000</v>
      </c>
    </row>
    <row r="60" spans="1:4" x14ac:dyDescent="0.35">
      <c r="A60" s="4" t="s">
        <v>24</v>
      </c>
      <c r="B60" s="10">
        <v>4000</v>
      </c>
      <c r="C60" s="10">
        <v>2000</v>
      </c>
      <c r="D60" s="10">
        <v>2000</v>
      </c>
    </row>
    <row r="61" spans="1:4" x14ac:dyDescent="0.35">
      <c r="A61" s="5" t="s">
        <v>35</v>
      </c>
      <c r="B61" s="10">
        <v>4000</v>
      </c>
      <c r="C61" s="10">
        <v>2000</v>
      </c>
      <c r="D61" s="10">
        <v>2000</v>
      </c>
    </row>
    <row r="62" spans="1:4" x14ac:dyDescent="0.35">
      <c r="A62" s="4" t="s">
        <v>11</v>
      </c>
      <c r="B62" s="10">
        <v>3000</v>
      </c>
      <c r="C62" s="10">
        <v>1000</v>
      </c>
      <c r="D62" s="10">
        <v>2000</v>
      </c>
    </row>
    <row r="63" spans="1:4" x14ac:dyDescent="0.35">
      <c r="A63" s="5" t="s">
        <v>38</v>
      </c>
      <c r="B63" s="10">
        <v>3000</v>
      </c>
      <c r="C63" s="10">
        <v>1000</v>
      </c>
      <c r="D63" s="10">
        <v>2000</v>
      </c>
    </row>
    <row r="64" spans="1:4" x14ac:dyDescent="0.35">
      <c r="A64" s="4" t="s">
        <v>48</v>
      </c>
      <c r="B64" s="10">
        <v>1002867</v>
      </c>
      <c r="C64" s="10">
        <v>357167</v>
      </c>
      <c r="D64" s="10">
        <v>645700</v>
      </c>
    </row>
  </sheetData>
  <conditionalFormatting sqref="D5 D65:D1048576">
    <cfRule type="top10" dxfId="3" priority="5" rank="10"/>
  </conditionalFormatting>
  <conditionalFormatting sqref="D5 D65:D1048576">
    <cfRule type="cellIs" dxfId="2" priority="3" operator="lessThan">
      <formula>10000</formula>
    </cfRule>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324A-C9A5-4E78-83BD-BE506228CC39}">
  <dimension ref="A1:K30"/>
  <sheetViews>
    <sheetView zoomScaleNormal="100" workbookViewId="0">
      <selection activeCell="K8" sqref="K8"/>
    </sheetView>
  </sheetViews>
  <sheetFormatPr defaultRowHeight="14.5" x14ac:dyDescent="0.35"/>
  <cols>
    <col min="1" max="1" width="10" customWidth="1"/>
    <col min="3" max="3" width="11.26953125" customWidth="1"/>
    <col min="5" max="5" width="9.08984375" customWidth="1"/>
    <col min="6" max="6" width="10" customWidth="1"/>
    <col min="48" max="51" width="8.7265625" customWidth="1"/>
  </cols>
  <sheetData>
    <row r="1" spans="1:11" ht="15.5" x14ac:dyDescent="0.35">
      <c r="A1" s="1" t="s">
        <v>0</v>
      </c>
      <c r="B1" s="1" t="s">
        <v>1</v>
      </c>
      <c r="C1" s="1" t="s">
        <v>2</v>
      </c>
      <c r="D1" s="1" t="s">
        <v>3</v>
      </c>
      <c r="E1" s="1" t="s">
        <v>4</v>
      </c>
      <c r="F1" s="1" t="s">
        <v>5</v>
      </c>
    </row>
    <row r="2" spans="1:11" x14ac:dyDescent="0.35">
      <c r="A2" t="s">
        <v>6</v>
      </c>
      <c r="B2">
        <v>50000</v>
      </c>
      <c r="C2">
        <v>30000</v>
      </c>
      <c r="D2">
        <f>B2-C2</f>
        <v>20000</v>
      </c>
      <c r="E2" t="s">
        <v>35</v>
      </c>
      <c r="F2" t="s">
        <v>39</v>
      </c>
    </row>
    <row r="3" spans="1:11" x14ac:dyDescent="0.35">
      <c r="A3" t="s">
        <v>7</v>
      </c>
      <c r="B3">
        <v>100000</v>
      </c>
      <c r="C3">
        <v>60000</v>
      </c>
      <c r="D3">
        <f t="shared" ref="D3:D30" si="0">B3-C3</f>
        <v>40000</v>
      </c>
      <c r="E3" t="s">
        <v>36</v>
      </c>
      <c r="F3" t="s">
        <v>40</v>
      </c>
      <c r="H3" s="2" t="s">
        <v>43</v>
      </c>
      <c r="I3" s="2"/>
      <c r="J3" s="2"/>
      <c r="K3">
        <f>AVERAGEIF(F:F,"Q1",B:B)</f>
        <v>17000</v>
      </c>
    </row>
    <row r="4" spans="1:11" x14ac:dyDescent="0.35">
      <c r="A4" t="s">
        <v>8</v>
      </c>
      <c r="B4">
        <v>5000</v>
      </c>
      <c r="C4">
        <v>1000</v>
      </c>
      <c r="D4">
        <f t="shared" si="0"/>
        <v>4000</v>
      </c>
      <c r="E4" t="s">
        <v>37</v>
      </c>
      <c r="F4" t="s">
        <v>41</v>
      </c>
    </row>
    <row r="5" spans="1:11" x14ac:dyDescent="0.35">
      <c r="A5" t="s">
        <v>9</v>
      </c>
      <c r="B5">
        <v>70000</v>
      </c>
      <c r="C5">
        <v>30000</v>
      </c>
      <c r="D5">
        <f t="shared" si="0"/>
        <v>40000</v>
      </c>
      <c r="E5" t="s">
        <v>38</v>
      </c>
      <c r="F5" t="s">
        <v>42</v>
      </c>
      <c r="H5" s="2" t="s">
        <v>44</v>
      </c>
      <c r="I5" s="2"/>
      <c r="J5" s="2"/>
      <c r="K5">
        <f>SUMIFS(C:C,F:F,"Q1")</f>
        <v>40500</v>
      </c>
    </row>
    <row r="6" spans="1:11" x14ac:dyDescent="0.35">
      <c r="A6" t="s">
        <v>10</v>
      </c>
      <c r="B6">
        <v>40000</v>
      </c>
      <c r="C6">
        <v>3000</v>
      </c>
      <c r="D6">
        <f t="shared" si="0"/>
        <v>37000</v>
      </c>
      <c r="E6" t="s">
        <v>35</v>
      </c>
      <c r="F6" t="s">
        <v>42</v>
      </c>
    </row>
    <row r="7" spans="1:11" x14ac:dyDescent="0.35">
      <c r="A7" t="s">
        <v>11</v>
      </c>
      <c r="B7">
        <v>3000</v>
      </c>
      <c r="C7">
        <v>1000</v>
      </c>
      <c r="D7">
        <f t="shared" si="0"/>
        <v>2000</v>
      </c>
      <c r="E7" t="s">
        <v>38</v>
      </c>
      <c r="F7" s="10" t="s">
        <v>42</v>
      </c>
      <c r="H7" s="2" t="s">
        <v>45</v>
      </c>
      <c r="I7" s="2"/>
      <c r="J7" s="2"/>
      <c r="K7">
        <f>_xlfn.MAXIFS(D:D,F:F,"Q1")</f>
        <v>27000</v>
      </c>
    </row>
    <row r="8" spans="1:11" x14ac:dyDescent="0.35">
      <c r="A8" t="s">
        <v>12</v>
      </c>
      <c r="B8">
        <v>100000</v>
      </c>
      <c r="C8">
        <v>40000</v>
      </c>
      <c r="D8">
        <f t="shared" si="0"/>
        <v>60000</v>
      </c>
      <c r="E8" t="s">
        <v>35</v>
      </c>
      <c r="F8" s="10" t="s">
        <v>41</v>
      </c>
    </row>
    <row r="9" spans="1:11" x14ac:dyDescent="0.35">
      <c r="A9" t="s">
        <v>13</v>
      </c>
      <c r="B9">
        <v>200000</v>
      </c>
      <c r="C9">
        <v>120000</v>
      </c>
      <c r="D9">
        <f t="shared" si="0"/>
        <v>80000</v>
      </c>
      <c r="E9" t="s">
        <v>37</v>
      </c>
      <c r="F9" s="10" t="s">
        <v>41</v>
      </c>
    </row>
    <row r="10" spans="1:11" x14ac:dyDescent="0.35">
      <c r="A10" t="s">
        <v>14</v>
      </c>
      <c r="B10">
        <v>50000</v>
      </c>
      <c r="C10">
        <v>1000</v>
      </c>
      <c r="D10">
        <f t="shared" si="0"/>
        <v>49000</v>
      </c>
      <c r="E10" t="s">
        <v>36</v>
      </c>
      <c r="F10" s="10" t="s">
        <v>40</v>
      </c>
    </row>
    <row r="11" spans="1:11" x14ac:dyDescent="0.35">
      <c r="A11" t="s">
        <v>15</v>
      </c>
      <c r="B11">
        <v>2000</v>
      </c>
      <c r="C11">
        <v>500</v>
      </c>
      <c r="D11">
        <f t="shared" si="0"/>
        <v>1500</v>
      </c>
      <c r="E11" t="s">
        <v>37</v>
      </c>
      <c r="F11" s="10" t="s">
        <v>39</v>
      </c>
    </row>
    <row r="12" spans="1:11" x14ac:dyDescent="0.35">
      <c r="A12" t="s">
        <v>16</v>
      </c>
      <c r="B12">
        <v>5500</v>
      </c>
      <c r="C12">
        <v>500</v>
      </c>
      <c r="D12">
        <f t="shared" si="0"/>
        <v>5000</v>
      </c>
      <c r="E12" t="s">
        <v>36</v>
      </c>
      <c r="F12" t="s">
        <v>40</v>
      </c>
    </row>
    <row r="13" spans="1:11" x14ac:dyDescent="0.35">
      <c r="A13" t="s">
        <v>17</v>
      </c>
      <c r="B13">
        <v>18000</v>
      </c>
      <c r="C13">
        <v>12000</v>
      </c>
      <c r="D13">
        <f t="shared" si="0"/>
        <v>6000</v>
      </c>
      <c r="E13" t="s">
        <v>38</v>
      </c>
      <c r="F13" t="s">
        <v>42</v>
      </c>
    </row>
    <row r="14" spans="1:11" x14ac:dyDescent="0.35">
      <c r="A14" t="s">
        <v>18</v>
      </c>
      <c r="B14">
        <v>5000</v>
      </c>
      <c r="C14">
        <v>1000</v>
      </c>
      <c r="D14">
        <f t="shared" si="0"/>
        <v>4000</v>
      </c>
      <c r="E14" t="s">
        <v>38</v>
      </c>
      <c r="F14" s="10" t="s">
        <v>40</v>
      </c>
    </row>
    <row r="15" spans="1:11" x14ac:dyDescent="0.35">
      <c r="A15" t="s">
        <v>19</v>
      </c>
      <c r="B15">
        <v>5667</v>
      </c>
      <c r="C15">
        <v>667</v>
      </c>
      <c r="D15">
        <f t="shared" si="0"/>
        <v>5000</v>
      </c>
      <c r="E15" t="s">
        <v>35</v>
      </c>
      <c r="F15" t="s">
        <v>41</v>
      </c>
    </row>
    <row r="16" spans="1:11" x14ac:dyDescent="0.35">
      <c r="A16" t="s">
        <v>20</v>
      </c>
      <c r="B16">
        <v>30000</v>
      </c>
      <c r="C16">
        <v>1200</v>
      </c>
      <c r="D16">
        <f t="shared" si="0"/>
        <v>28800</v>
      </c>
      <c r="E16" t="s">
        <v>35</v>
      </c>
      <c r="F16" t="s">
        <v>42</v>
      </c>
    </row>
    <row r="17" spans="1:6" x14ac:dyDescent="0.35">
      <c r="A17" t="s">
        <v>21</v>
      </c>
      <c r="B17">
        <v>6000</v>
      </c>
      <c r="C17">
        <v>1000</v>
      </c>
      <c r="D17">
        <f t="shared" si="0"/>
        <v>5000</v>
      </c>
      <c r="E17" t="s">
        <v>37</v>
      </c>
      <c r="F17" s="10" t="s">
        <v>39</v>
      </c>
    </row>
    <row r="18" spans="1:6" x14ac:dyDescent="0.35">
      <c r="A18" t="s">
        <v>22</v>
      </c>
      <c r="B18">
        <v>70000</v>
      </c>
      <c r="C18">
        <v>10000</v>
      </c>
      <c r="D18">
        <f t="shared" si="0"/>
        <v>60000</v>
      </c>
      <c r="E18" t="s">
        <v>36</v>
      </c>
      <c r="F18" t="s">
        <v>42</v>
      </c>
    </row>
    <row r="19" spans="1:6" x14ac:dyDescent="0.35">
      <c r="A19" t="s">
        <v>23</v>
      </c>
      <c r="B19">
        <v>1200</v>
      </c>
      <c r="C19">
        <v>200</v>
      </c>
      <c r="D19">
        <f t="shared" si="0"/>
        <v>1000</v>
      </c>
      <c r="E19" t="s">
        <v>36</v>
      </c>
      <c r="F19" s="10" t="s">
        <v>40</v>
      </c>
    </row>
    <row r="20" spans="1:6" x14ac:dyDescent="0.35">
      <c r="A20" t="s">
        <v>24</v>
      </c>
      <c r="B20">
        <v>4000</v>
      </c>
      <c r="C20">
        <v>2000</v>
      </c>
      <c r="D20">
        <f t="shared" si="0"/>
        <v>2000</v>
      </c>
      <c r="E20" t="s">
        <v>35</v>
      </c>
      <c r="F20" t="s">
        <v>41</v>
      </c>
    </row>
    <row r="21" spans="1:6" x14ac:dyDescent="0.35">
      <c r="A21" t="s">
        <v>25</v>
      </c>
      <c r="B21">
        <v>30000</v>
      </c>
      <c r="C21">
        <v>3000</v>
      </c>
      <c r="D21">
        <f t="shared" si="0"/>
        <v>27000</v>
      </c>
      <c r="E21" t="s">
        <v>35</v>
      </c>
      <c r="F21" t="s">
        <v>39</v>
      </c>
    </row>
    <row r="22" spans="1:6" x14ac:dyDescent="0.35">
      <c r="A22" t="s">
        <v>26</v>
      </c>
      <c r="B22">
        <v>4000</v>
      </c>
      <c r="C22">
        <v>3000</v>
      </c>
      <c r="D22">
        <f t="shared" si="0"/>
        <v>1000</v>
      </c>
      <c r="E22" t="s">
        <v>36</v>
      </c>
      <c r="F22" s="10" t="s">
        <v>39</v>
      </c>
    </row>
    <row r="23" spans="1:6" x14ac:dyDescent="0.35">
      <c r="A23" t="s">
        <v>27</v>
      </c>
      <c r="B23">
        <v>12000</v>
      </c>
      <c r="C23">
        <v>1200</v>
      </c>
      <c r="D23">
        <f t="shared" si="0"/>
        <v>10800</v>
      </c>
      <c r="E23" t="s">
        <v>38</v>
      </c>
      <c r="F23" s="10" t="s">
        <v>42</v>
      </c>
    </row>
    <row r="24" spans="1:6" x14ac:dyDescent="0.35">
      <c r="A24" t="s">
        <v>28</v>
      </c>
      <c r="B24">
        <v>1500</v>
      </c>
      <c r="C24">
        <v>1000</v>
      </c>
      <c r="D24">
        <f t="shared" si="0"/>
        <v>500</v>
      </c>
      <c r="E24" t="s">
        <v>37</v>
      </c>
      <c r="F24" t="s">
        <v>42</v>
      </c>
    </row>
    <row r="25" spans="1:6" x14ac:dyDescent="0.35">
      <c r="A25" t="s">
        <v>29</v>
      </c>
      <c r="B25">
        <v>8000</v>
      </c>
      <c r="C25">
        <v>700</v>
      </c>
      <c r="D25">
        <f t="shared" si="0"/>
        <v>7300</v>
      </c>
      <c r="E25" t="s">
        <v>37</v>
      </c>
      <c r="F25" s="10" t="s">
        <v>41</v>
      </c>
    </row>
    <row r="26" spans="1:6" x14ac:dyDescent="0.35">
      <c r="A26" t="s">
        <v>30</v>
      </c>
      <c r="B26">
        <v>60000</v>
      </c>
      <c r="C26">
        <v>10000</v>
      </c>
      <c r="D26">
        <f t="shared" si="0"/>
        <v>50000</v>
      </c>
      <c r="E26" t="s">
        <v>36</v>
      </c>
      <c r="F26" t="s">
        <v>40</v>
      </c>
    </row>
    <row r="27" spans="1:6" x14ac:dyDescent="0.35">
      <c r="A27" t="s">
        <v>31</v>
      </c>
      <c r="B27">
        <v>50000</v>
      </c>
      <c r="C27">
        <v>100</v>
      </c>
      <c r="D27">
        <f t="shared" si="0"/>
        <v>49900</v>
      </c>
      <c r="E27" t="s">
        <v>36</v>
      </c>
      <c r="F27" s="10" t="s">
        <v>40</v>
      </c>
    </row>
    <row r="28" spans="1:6" x14ac:dyDescent="0.35">
      <c r="A28" t="s">
        <v>32</v>
      </c>
      <c r="B28">
        <v>60000</v>
      </c>
      <c r="C28">
        <v>20000</v>
      </c>
      <c r="D28">
        <f t="shared" si="0"/>
        <v>40000</v>
      </c>
      <c r="E28" t="s">
        <v>37</v>
      </c>
      <c r="F28" t="s">
        <v>42</v>
      </c>
    </row>
    <row r="29" spans="1:6" x14ac:dyDescent="0.35">
      <c r="A29" t="s">
        <v>33</v>
      </c>
      <c r="B29">
        <v>10000</v>
      </c>
      <c r="C29">
        <v>3000</v>
      </c>
      <c r="D29">
        <f t="shared" si="0"/>
        <v>7000</v>
      </c>
      <c r="E29" t="s">
        <v>35</v>
      </c>
      <c r="F29" t="s">
        <v>39</v>
      </c>
    </row>
    <row r="30" spans="1:6" x14ac:dyDescent="0.35">
      <c r="A30" t="s">
        <v>34</v>
      </c>
      <c r="B30">
        <v>2000</v>
      </c>
      <c r="C30">
        <v>100</v>
      </c>
      <c r="D30">
        <f t="shared" si="0"/>
        <v>1900</v>
      </c>
      <c r="E30" t="s">
        <v>36</v>
      </c>
      <c r="F30" s="10" t="s">
        <v>41</v>
      </c>
    </row>
  </sheetData>
  <conditionalFormatting sqref="B1:B1048576">
    <cfRule type="cellIs" dxfId="1" priority="3" operator="greaterThan">
      <formula>40000</formula>
    </cfRule>
  </conditionalFormatting>
  <conditionalFormatting sqref="D1:D1048576">
    <cfRule type="cellIs" dxfId="0" priority="1" operator="lessThan">
      <formula>10000</formula>
    </cfRule>
  </conditionalFormatting>
  <dataValidations count="2">
    <dataValidation type="custom" allowBlank="1" showInputMessage="1" showErrorMessage="1" sqref="A1:A1048576" xr:uid="{DB5A421F-2B78-48D7-9A55-5B89760C6DB1}">
      <formula1>COUNTIF($A$2:$A2,A2)=1</formula1>
    </dataValidation>
    <dataValidation type="decimal" operator="greaterThan" allowBlank="1" showInputMessage="1" showErrorMessage="1" sqref="B1:B1048576" xr:uid="{D1E90E1F-90D1-4288-96BA-94AA79E3942F}">
      <formula1>0</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Dynamic Chart</vt:lpstr>
      <vt:lpstr>Summary</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2026-05-18T15:51:26Z</dcterms:created>
  <dcterms:modified xsi:type="dcterms:W3CDTF">2026-05-19T07:56:59Z</dcterms:modified>
</cp:coreProperties>
</file>